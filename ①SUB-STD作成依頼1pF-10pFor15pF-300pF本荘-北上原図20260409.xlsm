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419397\Desktop\■■TDK秋田評価DB\★130期下期\★★★2026年1月23日-部門毎サイズ容量数量ラベル印刷の改善3月6日完了\③本荘工場_北上工場-2月8月_6月12月\2月8月-1pF-10pF本荘-北上版-OK\2月-8月用リンク有\"/>
    </mc:Choice>
  </mc:AlternateContent>
  <xr:revisionPtr revIDLastSave="0" documentId="8_{C9532CE7-E14B-4114-97F6-754125315411}" xr6:coauthVersionLast="47" xr6:coauthVersionMax="47" xr10:uidLastSave="{00000000-0000-0000-0000-000000000000}"/>
  <bookViews>
    <workbookView xWindow="-120" yWindow="-120" windowWidth="29040" windowHeight="15720" xr2:uid="{6CF9EA66-1CE6-47CC-AD2F-022D6D86B9A6}"/>
  </bookViews>
  <sheets>
    <sheet name="SUB-STD作成依頼" sheetId="2" r:id="rId1"/>
    <sheet name="2月8月-6月12月用数量貼付用" sheetId="12" r:id="rId2"/>
    <sheet name="作成修正履歴" sheetId="4" r:id="rId3"/>
    <sheet name="2024aug21参照設定私の設定分" sheetId="10" state="hidden" r:id="rId4"/>
    <sheet name="2024年aug21-コントロール私の設定" sheetId="11" state="hidden" r:id="rId5"/>
  </sheets>
  <definedNames>
    <definedName name="_xlnm._FilterDatabase" localSheetId="0" hidden="1">'SUB-STD作成依頼'!$C$14:$AP$22</definedName>
    <definedName name="_xleta.N" hidden="1" xlm="1">#NAME?</definedName>
    <definedName name="_xlnm.Print_Area" localSheetId="0">'SUB-STD作成依頼'!$A$1:$BG$57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12" l="1"/>
  <c r="G11" i="12"/>
  <c r="G10" i="12"/>
  <c r="G9" i="12"/>
  <c r="F12" i="12"/>
  <c r="F11" i="12"/>
  <c r="F10" i="12"/>
  <c r="F9" i="12"/>
  <c r="E12" i="12"/>
  <c r="E11" i="12"/>
  <c r="E10" i="12"/>
  <c r="E9" i="12"/>
  <c r="D12" i="12"/>
  <c r="D11" i="12"/>
  <c r="D10" i="12"/>
  <c r="D9" i="12"/>
  <c r="A2" i="12"/>
  <c r="M2" i="12" s="1"/>
  <c r="A5" i="12"/>
  <c r="W12" i="12"/>
  <c r="W11" i="12"/>
  <c r="W10" i="12"/>
  <c r="W9" i="12"/>
  <c r="V12" i="12"/>
  <c r="V11" i="12"/>
  <c r="V10" i="12"/>
  <c r="V9" i="12"/>
  <c r="U12" i="12"/>
  <c r="U11" i="12"/>
  <c r="U10" i="12"/>
  <c r="U9" i="12"/>
  <c r="T12" i="12"/>
  <c r="T11" i="12"/>
  <c r="T10" i="12"/>
  <c r="T9" i="12"/>
  <c r="S12" i="12"/>
  <c r="S11" i="12"/>
  <c r="S10" i="12"/>
  <c r="S9" i="12"/>
  <c r="R12" i="12"/>
  <c r="R11" i="12"/>
  <c r="R10" i="12"/>
  <c r="R9" i="12"/>
  <c r="Q12" i="12"/>
  <c r="Q11" i="12"/>
  <c r="Q10" i="12"/>
  <c r="Q9" i="12"/>
  <c r="P12" i="12"/>
  <c r="P11" i="12"/>
  <c r="P10" i="12"/>
  <c r="P9" i="12"/>
  <c r="S5" i="12" l="1"/>
  <c r="S6" i="12" s="1"/>
  <c r="U5" i="12"/>
  <c r="U6" i="12" s="1"/>
  <c r="P5" i="12"/>
  <c r="P6" i="12" s="1"/>
  <c r="Q5" i="12"/>
  <c r="Q6" i="12" s="1"/>
  <c r="R5" i="12"/>
  <c r="R6" i="12" s="1"/>
  <c r="T5" i="12"/>
  <c r="T6" i="12" s="1"/>
  <c r="V5" i="12"/>
  <c r="V6" i="12" s="1"/>
  <c r="W5" i="12"/>
  <c r="W6" i="12" s="1"/>
  <c r="M5" i="12" l="1"/>
  <c r="O7" i="2"/>
  <c r="AG7" i="2"/>
  <c r="G5" i="12" l="1"/>
  <c r="G6" i="12" s="1"/>
  <c r="F5" i="12"/>
  <c r="F6" i="12" s="1"/>
  <c r="E5" i="12"/>
  <c r="E6" i="12" s="1"/>
  <c r="D5" i="12"/>
  <c r="D6" i="12" s="1"/>
</calcChain>
</file>

<file path=xl/sharedStrings.xml><?xml version="1.0" encoding="utf-8"?>
<sst xmlns="http://schemas.openxmlformats.org/spreadsheetml/2006/main" count="269" uniqueCount="235">
  <si>
    <t>【Sub Std 作成依頼申請書】</t>
    <rPh sb="9" eb="11">
      <t>サクセイ</t>
    </rPh>
    <rPh sb="11" eb="13">
      <t>イライ</t>
    </rPh>
    <rPh sb="13" eb="16">
      <t>シンセイショ</t>
    </rPh>
    <phoneticPr fontId="1"/>
  </si>
  <si>
    <t>確認者</t>
    <rPh sb="0" eb="3">
      <t>カクニンシャ</t>
    </rPh>
    <phoneticPr fontId="1"/>
  </si>
  <si>
    <t>発行者</t>
    <rPh sb="0" eb="3">
      <t>ハッコウシャ</t>
    </rPh>
    <phoneticPr fontId="1"/>
  </si>
  <si>
    <t>上段単位[pF]</t>
    <rPh sb="0" eb="2">
      <t>ジョウダン</t>
    </rPh>
    <rPh sb="2" eb="4">
      <t>タンイ</t>
    </rPh>
    <phoneticPr fontId="1"/>
  </si>
  <si>
    <t>C0603</t>
    <phoneticPr fontId="1"/>
  </si>
  <si>
    <t>C1005</t>
    <phoneticPr fontId="1"/>
  </si>
  <si>
    <t>C1608</t>
    <phoneticPr fontId="1"/>
  </si>
  <si>
    <t>C2012</t>
    <phoneticPr fontId="1"/>
  </si>
  <si>
    <t>C3216</t>
    <phoneticPr fontId="1"/>
  </si>
  <si>
    <t>作成部門（品質保証マネジメント課）</t>
    <rPh sb="0" eb="2">
      <t>サクセイ</t>
    </rPh>
    <rPh sb="2" eb="4">
      <t>ブモン</t>
    </rPh>
    <rPh sb="5" eb="9">
      <t>ヒンシツホショウ</t>
    </rPh>
    <rPh sb="15" eb="16">
      <t>カ</t>
    </rPh>
    <phoneticPr fontId="1"/>
  </si>
  <si>
    <t>受付</t>
    <rPh sb="0" eb="2">
      <t>ウケツケ</t>
    </rPh>
    <phoneticPr fontId="1"/>
  </si>
  <si>
    <t>確認</t>
    <rPh sb="0" eb="2">
      <t>カクニン</t>
    </rPh>
    <phoneticPr fontId="1"/>
  </si>
  <si>
    <t>完成</t>
    <rPh sb="0" eb="2">
      <t>カンセイ</t>
    </rPh>
    <phoneticPr fontId="1"/>
  </si>
  <si>
    <t>作業予定</t>
    <rPh sb="0" eb="4">
      <t>サギョウヨテイ</t>
    </rPh>
    <phoneticPr fontId="1"/>
  </si>
  <si>
    <t xml:space="preserve">  保管 :　配布依頼に応じて配布</t>
    <rPh sb="2" eb="4">
      <t>ホカン</t>
    </rPh>
    <rPh sb="7" eb="9">
      <t>ハイフ</t>
    </rPh>
    <rPh sb="9" eb="11">
      <t>イライ</t>
    </rPh>
    <rPh sb="12" eb="13">
      <t>オウ</t>
    </rPh>
    <rPh sb="15" eb="17">
      <t>ハイフ</t>
    </rPh>
    <phoneticPr fontId="1"/>
  </si>
  <si>
    <t>履歴記録</t>
    <rPh sb="0" eb="2">
      <t>リレキ</t>
    </rPh>
    <rPh sb="2" eb="4">
      <t>キロク</t>
    </rPh>
    <phoneticPr fontId="1"/>
  </si>
  <si>
    <t>年月日</t>
    <rPh sb="0" eb="1">
      <t>ネン</t>
    </rPh>
    <rPh sb="1" eb="2">
      <t>ガツ</t>
    </rPh>
    <rPh sb="2" eb="3">
      <t>ヒ</t>
    </rPh>
    <phoneticPr fontId="1"/>
  </si>
  <si>
    <t>内容</t>
    <rPh sb="0" eb="2">
      <t>ナイヨウ</t>
    </rPh>
    <phoneticPr fontId="1"/>
  </si>
  <si>
    <t>1pF～10pF（2月/8月）</t>
    <rPh sb="10" eb="11">
      <t>ガツ</t>
    </rPh>
    <rPh sb="13" eb="14">
      <t>ガツ</t>
    </rPh>
    <phoneticPr fontId="1"/>
  </si>
  <si>
    <t>15pF～300pF（6月/12月）</t>
    <rPh sb="12" eb="13">
      <t>ガツ</t>
    </rPh>
    <rPh sb="16" eb="17">
      <t>ガツ</t>
    </rPh>
    <phoneticPr fontId="1"/>
  </si>
  <si>
    <t>コメント：</t>
    <phoneticPr fontId="1"/>
  </si>
  <si>
    <t>依頼内容選択</t>
    <rPh sb="0" eb="2">
      <t>イライ</t>
    </rPh>
    <rPh sb="2" eb="4">
      <t>ナイヨウ</t>
    </rPh>
    <rPh sb="4" eb="6">
      <t>センタク</t>
    </rPh>
    <phoneticPr fontId="1"/>
  </si>
  <si>
    <t>容量範囲選択</t>
    <rPh sb="0" eb="2">
      <t>ヨウリョウ</t>
    </rPh>
    <rPh sb="2" eb="4">
      <t>ハンイ</t>
    </rPh>
    <rPh sb="4" eb="6">
      <t>センタク</t>
    </rPh>
    <phoneticPr fontId="1"/>
  </si>
  <si>
    <t>期限更新分</t>
    <rPh sb="0" eb="2">
      <t>キゲン</t>
    </rPh>
    <rPh sb="2" eb="4">
      <t>コウシン</t>
    </rPh>
    <rPh sb="4" eb="5">
      <t>ブン</t>
    </rPh>
    <phoneticPr fontId="1"/>
  </si>
  <si>
    <t>その他</t>
    <rPh sb="2" eb="3">
      <t>タ</t>
    </rPh>
    <phoneticPr fontId="1"/>
  </si>
  <si>
    <t>追加作成</t>
    <rPh sb="0" eb="2">
      <t>ツイカ</t>
    </rPh>
    <rPh sb="2" eb="4">
      <t>サクセイ</t>
    </rPh>
    <phoneticPr fontId="1"/>
  </si>
  <si>
    <t>下記の依頼内容と容量範囲選択を選んでください。</t>
    <rPh sb="0" eb="2">
      <t>カキ</t>
    </rPh>
    <rPh sb="3" eb="5">
      <t>イライ</t>
    </rPh>
    <rPh sb="5" eb="7">
      <t>ナイヨウ</t>
    </rPh>
    <rPh sb="8" eb="10">
      <t>ヨウリョウ</t>
    </rPh>
    <rPh sb="10" eb="12">
      <t>ハンイ</t>
    </rPh>
    <rPh sb="12" eb="14">
      <t>センタク</t>
    </rPh>
    <rPh sb="15" eb="16">
      <t>エラ</t>
    </rPh>
    <phoneticPr fontId="1"/>
  </si>
  <si>
    <t>AU4</t>
    <phoneticPr fontId="1"/>
  </si>
  <si>
    <t>コンボボックス</t>
    <phoneticPr fontId="1"/>
  </si>
  <si>
    <t>部門名</t>
    <rPh sb="0" eb="2">
      <t>ブモン</t>
    </rPh>
    <rPh sb="2" eb="3">
      <t>メイ</t>
    </rPh>
    <phoneticPr fontId="1"/>
  </si>
  <si>
    <t>各ルーチンへの異常時の動作のエラー処理回避プログラム追加</t>
    <rPh sb="0" eb="1">
      <t>カク</t>
    </rPh>
    <rPh sb="7" eb="9">
      <t>イジョウ</t>
    </rPh>
    <rPh sb="9" eb="10">
      <t>ジ</t>
    </rPh>
    <rPh sb="11" eb="13">
      <t>ドウサ</t>
    </rPh>
    <rPh sb="19" eb="21">
      <t>カイヒ</t>
    </rPh>
    <rPh sb="26" eb="28">
      <t>ツイカ</t>
    </rPh>
    <phoneticPr fontId="1"/>
  </si>
  <si>
    <t>2023年9月8日（金）</t>
    <phoneticPr fontId="1"/>
  </si>
  <si>
    <t>2023年10月24日（火）</t>
    <rPh sb="7" eb="8">
      <t>ガツ</t>
    </rPh>
    <rPh sb="10" eb="11">
      <t>カ</t>
    </rPh>
    <rPh sb="12" eb="13">
      <t>カ</t>
    </rPh>
    <phoneticPr fontId="1"/>
  </si>
  <si>
    <t>2023年10月25日（水）</t>
    <rPh sb="4" eb="5">
      <t>ネン</t>
    </rPh>
    <rPh sb="7" eb="8">
      <t>ガツ</t>
    </rPh>
    <rPh sb="10" eb="11">
      <t>ニチ</t>
    </rPh>
    <rPh sb="12" eb="13">
      <t>スイ</t>
    </rPh>
    <phoneticPr fontId="1"/>
  </si>
  <si>
    <t>'今から13年間はうるう年対応を入力実施にて問題無し確認済み。</t>
  </si>
  <si>
    <t>2023年9月11日（月）</t>
    <rPh sb="4" eb="5">
      <t>ネン</t>
    </rPh>
    <rPh sb="6" eb="7">
      <t>ガツ</t>
    </rPh>
    <rPh sb="9" eb="10">
      <t>ニチ</t>
    </rPh>
    <rPh sb="11" eb="12">
      <t>ゲツ</t>
    </rPh>
    <phoneticPr fontId="1"/>
  </si>
  <si>
    <t>部門名の手入力を入力規則による選択方式に変更</t>
    <rPh sb="0" eb="2">
      <t>ブモン</t>
    </rPh>
    <rPh sb="2" eb="3">
      <t>メイ</t>
    </rPh>
    <rPh sb="4" eb="7">
      <t>テニュウリョク</t>
    </rPh>
    <rPh sb="8" eb="10">
      <t>ニュウリョク</t>
    </rPh>
    <rPh sb="10" eb="12">
      <t>キソク</t>
    </rPh>
    <rPh sb="15" eb="17">
      <t>センタク</t>
    </rPh>
    <rPh sb="17" eb="19">
      <t>ホウシキ</t>
    </rPh>
    <rPh sb="20" eb="22">
      <t>ヘンコウ</t>
    </rPh>
    <phoneticPr fontId="1"/>
  </si>
  <si>
    <t>【対応部門】</t>
    <rPh sb="1" eb="3">
      <t>タイオウ</t>
    </rPh>
    <rPh sb="3" eb="5">
      <t>ブモン</t>
    </rPh>
    <phoneticPr fontId="1"/>
  </si>
  <si>
    <t>１．本荘工場 素地検査</t>
    <rPh sb="2" eb="6">
      <t>ホンジョウコウジョウ</t>
    </rPh>
    <rPh sb="7" eb="11">
      <t>ソジケンサ</t>
    </rPh>
    <phoneticPr fontId="1"/>
  </si>
  <si>
    <t>２．本荘工場 測定工程</t>
    <rPh sb="2" eb="6">
      <t>ホンジョウコウジョウ</t>
    </rPh>
    <rPh sb="7" eb="9">
      <t>ソクテイ</t>
    </rPh>
    <rPh sb="9" eb="11">
      <t>コウテイ</t>
    </rPh>
    <phoneticPr fontId="1"/>
  </si>
  <si>
    <t>３．本荘工場 製品検査</t>
    <rPh sb="2" eb="6">
      <t>ホンジョウコウジョウ</t>
    </rPh>
    <rPh sb="7" eb="9">
      <t>セイヒン</t>
    </rPh>
    <rPh sb="9" eb="11">
      <t>ケンサ</t>
    </rPh>
    <phoneticPr fontId="1"/>
  </si>
  <si>
    <t>これにより下記部門が同じ内容でのサブスタンダード作成依頼書の作成が可能</t>
    <rPh sb="5" eb="7">
      <t>カキ</t>
    </rPh>
    <rPh sb="7" eb="9">
      <t>ブモン</t>
    </rPh>
    <rPh sb="10" eb="11">
      <t>オナ</t>
    </rPh>
    <rPh sb="12" eb="14">
      <t>ナイヨウ</t>
    </rPh>
    <rPh sb="24" eb="26">
      <t>サクセイ</t>
    </rPh>
    <rPh sb="26" eb="28">
      <t>イライ</t>
    </rPh>
    <rPh sb="28" eb="29">
      <t>ショ</t>
    </rPh>
    <rPh sb="30" eb="32">
      <t>サクセイ</t>
    </rPh>
    <rPh sb="33" eb="35">
      <t>カノウ</t>
    </rPh>
    <phoneticPr fontId="1"/>
  </si>
  <si>
    <t>３．容量範囲選択のコンボボックス方式での選択方式採用</t>
    <rPh sb="2" eb="4">
      <t>ヨウリョウ</t>
    </rPh>
    <rPh sb="4" eb="6">
      <t>ハンイ</t>
    </rPh>
    <rPh sb="6" eb="8">
      <t>センタク</t>
    </rPh>
    <rPh sb="16" eb="18">
      <t>ホウシキ</t>
    </rPh>
    <rPh sb="20" eb="22">
      <t>センタク</t>
    </rPh>
    <rPh sb="22" eb="24">
      <t>ホウシキ</t>
    </rPh>
    <rPh sb="24" eb="26">
      <t>サイヨウ</t>
    </rPh>
    <phoneticPr fontId="1"/>
  </si>
  <si>
    <t>２．依頼内容のコンボボックス方式での選択方式採用</t>
    <rPh sb="2" eb="4">
      <t>イライ</t>
    </rPh>
    <rPh sb="4" eb="6">
      <t>ナイヨウ</t>
    </rPh>
    <rPh sb="14" eb="16">
      <t>ホウシキ</t>
    </rPh>
    <rPh sb="18" eb="20">
      <t>センタク</t>
    </rPh>
    <rPh sb="20" eb="22">
      <t>ホウシキ</t>
    </rPh>
    <rPh sb="22" eb="24">
      <t>サイヨウ</t>
    </rPh>
    <phoneticPr fontId="1"/>
  </si>
  <si>
    <t>○手入力はエラーが多いのでしない方法を採用する。</t>
    <rPh sb="1" eb="4">
      <t>テニュウリョク</t>
    </rPh>
    <rPh sb="9" eb="10">
      <t>オオ</t>
    </rPh>
    <rPh sb="16" eb="18">
      <t>ホウホウ</t>
    </rPh>
    <rPh sb="19" eb="21">
      <t>サイヨウ</t>
    </rPh>
    <phoneticPr fontId="1"/>
  </si>
  <si>
    <t>１．年月日の選択入力（書類作成日、sub-std作成予定日、次回校正日の自動計算での表示）</t>
    <rPh sb="2" eb="5">
      <t>ネンゲツヒ</t>
    </rPh>
    <rPh sb="6" eb="10">
      <t>センタクニュウリョク</t>
    </rPh>
    <rPh sb="11" eb="13">
      <t>ショルイ</t>
    </rPh>
    <rPh sb="13" eb="15">
      <t>サクセイ</t>
    </rPh>
    <rPh sb="15" eb="16">
      <t>ビ</t>
    </rPh>
    <rPh sb="24" eb="26">
      <t>サクセイ</t>
    </rPh>
    <rPh sb="26" eb="29">
      <t>ヨテイビ</t>
    </rPh>
    <rPh sb="30" eb="34">
      <t>ジカイコウセイ</t>
    </rPh>
    <rPh sb="34" eb="35">
      <t>ビ</t>
    </rPh>
    <rPh sb="36" eb="38">
      <t>ジドウ</t>
    </rPh>
    <rPh sb="38" eb="40">
      <t>ケイサン</t>
    </rPh>
    <rPh sb="42" eb="44">
      <t>ヒョウジ</t>
    </rPh>
    <phoneticPr fontId="1"/>
  </si>
  <si>
    <t>○容量選択範囲のカラー（青色）表示</t>
    <rPh sb="1" eb="3">
      <t>ヨウリョウ</t>
    </rPh>
    <rPh sb="3" eb="5">
      <t>センタク</t>
    </rPh>
    <rPh sb="5" eb="7">
      <t>ハンイ</t>
    </rPh>
    <rPh sb="12" eb="14">
      <t>アオイロ</t>
    </rPh>
    <rPh sb="15" eb="17">
      <t>ヒョウジ</t>
    </rPh>
    <phoneticPr fontId="1"/>
  </si>
  <si>
    <t>・コンボボックスの容量選択に連動し対応する作成依頼容量を青色で表示</t>
    <phoneticPr fontId="1"/>
  </si>
  <si>
    <t>年月計算部は2036年までの対応化（うるう年対応）</t>
    <rPh sb="16" eb="17">
      <t>カ</t>
    </rPh>
    <rPh sb="21" eb="22">
      <t>ドシ</t>
    </rPh>
    <rPh sb="22" eb="24">
      <t>タイオウ</t>
    </rPh>
    <phoneticPr fontId="1"/>
  </si>
  <si>
    <t>■自動推進化その１：カレンダー入力箇所のクリック入力化検討開始（仕様案の概略）</t>
    <rPh sb="32" eb="34">
      <t>シヨウ</t>
    </rPh>
    <rPh sb="34" eb="35">
      <t>アン</t>
    </rPh>
    <rPh sb="36" eb="38">
      <t>ガイリャク</t>
    </rPh>
    <phoneticPr fontId="1"/>
  </si>
  <si>
    <t>○各サイズの容量の個数のフォームによる簡単入力</t>
    <rPh sb="1" eb="2">
      <t>カク</t>
    </rPh>
    <rPh sb="6" eb="8">
      <t>ヨウリョウ</t>
    </rPh>
    <rPh sb="9" eb="11">
      <t>コスウ</t>
    </rPh>
    <rPh sb="19" eb="21">
      <t>カンタン</t>
    </rPh>
    <rPh sb="21" eb="23">
      <t>ニュウリョク</t>
    </rPh>
    <phoneticPr fontId="1"/>
  </si>
  <si>
    <t>・作成対象サイズ、容量入力セルをダブルクリックにて立ち上がった入力フォーム上のアップダウンカウンタで</t>
    <rPh sb="1" eb="3">
      <t>サクセイ</t>
    </rPh>
    <rPh sb="3" eb="5">
      <t>タイショウ</t>
    </rPh>
    <rPh sb="9" eb="11">
      <t>ヨウリョウ</t>
    </rPh>
    <rPh sb="11" eb="13">
      <t>ニュウリョク</t>
    </rPh>
    <rPh sb="25" eb="26">
      <t>タ</t>
    </rPh>
    <rPh sb="27" eb="28">
      <t>ア</t>
    </rPh>
    <rPh sb="31" eb="33">
      <t>ニュウリョク</t>
    </rPh>
    <rPh sb="37" eb="38">
      <t>ジョウ</t>
    </rPh>
    <phoneticPr fontId="1"/>
  </si>
  <si>
    <t>　設定個数（数値）設定後、数量OKボタンで自動入力</t>
    <phoneticPr fontId="1"/>
  </si>
  <si>
    <t>・作成対象サイズ、容量入力セルをダブルクリックで入力フォーム自動立ち上がり、ボタン押下のみで作成数が</t>
    <rPh sb="1" eb="5">
      <t>サクセイタイショウ</t>
    </rPh>
    <rPh sb="9" eb="11">
      <t>ヨウリョウ</t>
    </rPh>
    <rPh sb="11" eb="13">
      <t>ニュウリョク</t>
    </rPh>
    <rPh sb="30" eb="32">
      <t>ジドウ</t>
    </rPh>
    <rPh sb="32" eb="33">
      <t>タチ</t>
    </rPh>
    <rPh sb="34" eb="35">
      <t>ア</t>
    </rPh>
    <phoneticPr fontId="1"/>
  </si>
  <si>
    <t>　自動入力</t>
    <phoneticPr fontId="1"/>
  </si>
  <si>
    <t>○Sub Std作成依頼申請書の入力完成後の書き換え禁止の為のセキュリティ処理追加</t>
    <rPh sb="8" eb="10">
      <t>サクセイ</t>
    </rPh>
    <rPh sb="10" eb="12">
      <t>イライ</t>
    </rPh>
    <rPh sb="12" eb="14">
      <t>シンセイ</t>
    </rPh>
    <rPh sb="14" eb="15">
      <t>ショ</t>
    </rPh>
    <rPh sb="16" eb="18">
      <t>ニュウリョク</t>
    </rPh>
    <rPh sb="18" eb="20">
      <t>カンセイ</t>
    </rPh>
    <rPh sb="20" eb="21">
      <t>ゴ</t>
    </rPh>
    <rPh sb="22" eb="23">
      <t>カ</t>
    </rPh>
    <rPh sb="24" eb="25">
      <t>カ</t>
    </rPh>
    <rPh sb="26" eb="28">
      <t>キンシ</t>
    </rPh>
    <rPh sb="29" eb="30">
      <t>タメ</t>
    </rPh>
    <rPh sb="37" eb="39">
      <t>ショリ</t>
    </rPh>
    <rPh sb="39" eb="41">
      <t>ツイカ</t>
    </rPh>
    <phoneticPr fontId="1"/>
  </si>
  <si>
    <t>・シート保護実施ボタンにてシートの書き換え不可となる処理</t>
    <rPh sb="4" eb="6">
      <t>ホゴ</t>
    </rPh>
    <rPh sb="6" eb="8">
      <t>ジッシ</t>
    </rPh>
    <rPh sb="17" eb="18">
      <t>カ</t>
    </rPh>
    <rPh sb="19" eb="20">
      <t>カ</t>
    </rPh>
    <rPh sb="21" eb="23">
      <t>フカ</t>
    </rPh>
    <rPh sb="26" eb="28">
      <t>ショリ</t>
    </rPh>
    <phoneticPr fontId="1"/>
  </si>
  <si>
    <t>・シート保護解除ボタンにてシートの書き換え不可を解除する処理</t>
    <rPh sb="4" eb="6">
      <t>ホゴ</t>
    </rPh>
    <rPh sb="6" eb="8">
      <t>カイジョ</t>
    </rPh>
    <rPh sb="17" eb="18">
      <t>カ</t>
    </rPh>
    <rPh sb="19" eb="20">
      <t>カ</t>
    </rPh>
    <rPh sb="21" eb="23">
      <t>フカ</t>
    </rPh>
    <rPh sb="24" eb="26">
      <t>カイジョ</t>
    </rPh>
    <rPh sb="28" eb="30">
      <t>ショリ</t>
    </rPh>
    <phoneticPr fontId="1"/>
  </si>
  <si>
    <t>○他機能に関して、VBAプログラム作成時に新案があれば随時導入検討を行う事とする。</t>
    <rPh sb="1" eb="2">
      <t>ホカ</t>
    </rPh>
    <rPh sb="2" eb="4">
      <t>キノウ</t>
    </rPh>
    <rPh sb="5" eb="6">
      <t>カン</t>
    </rPh>
    <rPh sb="17" eb="19">
      <t>サクセイ</t>
    </rPh>
    <rPh sb="19" eb="20">
      <t>ジ</t>
    </rPh>
    <rPh sb="21" eb="22">
      <t>シン</t>
    </rPh>
    <rPh sb="22" eb="23">
      <t>アン</t>
    </rPh>
    <rPh sb="27" eb="29">
      <t>ズイジ</t>
    </rPh>
    <rPh sb="29" eb="31">
      <t>ドウニュウ</t>
    </rPh>
    <rPh sb="31" eb="33">
      <t>ケントウ</t>
    </rPh>
    <rPh sb="34" eb="35">
      <t>オコナ</t>
    </rPh>
    <rPh sb="36" eb="37">
      <t>コト</t>
    </rPh>
    <phoneticPr fontId="1"/>
  </si>
  <si>
    <t>それ以降は入力確認していないが、理屈上'2099年までのうるう年チェックは問題無し</t>
    <phoneticPr fontId="1"/>
  </si>
  <si>
    <t>○入力対象セル以外は入力対象外である表示を行う</t>
    <rPh sb="0" eb="2">
      <t>ニュウリョク</t>
    </rPh>
    <rPh sb="2" eb="4">
      <t>タイショウ</t>
    </rPh>
    <rPh sb="6" eb="8">
      <t>イガイ</t>
    </rPh>
    <rPh sb="9" eb="11">
      <t>ニュウリョク</t>
    </rPh>
    <rPh sb="11" eb="13">
      <t>タイショウ</t>
    </rPh>
    <rPh sb="13" eb="14">
      <t>ガイ</t>
    </rPh>
    <rPh sb="17" eb="19">
      <t>ヒョウジ</t>
    </rPh>
    <rPh sb="20" eb="21">
      <t>オコナ</t>
    </rPh>
    <phoneticPr fontId="1"/>
  </si>
  <si>
    <t>2023年10月26日（木）</t>
    <rPh sb="7" eb="8">
      <t>ガツ</t>
    </rPh>
    <rPh sb="10" eb="11">
      <t>カ</t>
    </rPh>
    <rPh sb="12" eb="13">
      <t>モク</t>
    </rPh>
    <phoneticPr fontId="1"/>
  </si>
  <si>
    <t>コンボボックス選択時の位置情報は　セル”＄AＦ＄７”に選択時に自動で入る（値範囲：１，２，３）</t>
    <rPh sb="7" eb="9">
      <t>センタク</t>
    </rPh>
    <rPh sb="9" eb="10">
      <t>ジ</t>
    </rPh>
    <rPh sb="11" eb="15">
      <t>イチジョウホウ</t>
    </rPh>
    <rPh sb="27" eb="29">
      <t>センタク</t>
    </rPh>
    <rPh sb="29" eb="30">
      <t>ジ</t>
    </rPh>
    <rPh sb="31" eb="33">
      <t>ジドウ</t>
    </rPh>
    <rPh sb="34" eb="35">
      <t>ハイ</t>
    </rPh>
    <rPh sb="37" eb="40">
      <t>アタイハンイ</t>
    </rPh>
    <phoneticPr fontId="1"/>
  </si>
  <si>
    <t>位置値</t>
    <rPh sb="0" eb="2">
      <t>イチ</t>
    </rPh>
    <rPh sb="2" eb="3">
      <t>アタイ</t>
    </rPh>
    <phoneticPr fontId="1"/>
  </si>
  <si>
    <t>１　→空欄（未選択状態）　　　　対象月表示：”申請月外”を表示</t>
    <rPh sb="3" eb="5">
      <t>クウラン</t>
    </rPh>
    <rPh sb="6" eb="9">
      <t>ミセンタク</t>
    </rPh>
    <rPh sb="9" eb="11">
      <t>ジョウタイ</t>
    </rPh>
    <rPh sb="16" eb="18">
      <t>タイショウ</t>
    </rPh>
    <rPh sb="18" eb="19">
      <t>ツキ</t>
    </rPh>
    <rPh sb="19" eb="21">
      <t>ヒョウジ</t>
    </rPh>
    <rPh sb="23" eb="27">
      <t>シンセイツキガイ</t>
    </rPh>
    <rPh sb="29" eb="31">
      <t>ヒョウジ</t>
    </rPh>
    <phoneticPr fontId="1"/>
  </si>
  <si>
    <t>２　→1pF-10pF（2月/8月）　　　対象月：（1月、2月選択時）次回8月を表示、（7月、8月選択時）次回2月を表示</t>
    <rPh sb="13" eb="14">
      <t>ガツ</t>
    </rPh>
    <rPh sb="16" eb="17">
      <t>ガツ</t>
    </rPh>
    <rPh sb="21" eb="23">
      <t>タイショウ</t>
    </rPh>
    <rPh sb="23" eb="24">
      <t>ツキ</t>
    </rPh>
    <rPh sb="27" eb="28">
      <t>ガツ</t>
    </rPh>
    <rPh sb="30" eb="31">
      <t>ガツ</t>
    </rPh>
    <rPh sb="31" eb="33">
      <t>センタク</t>
    </rPh>
    <rPh sb="33" eb="34">
      <t>ジ</t>
    </rPh>
    <rPh sb="35" eb="37">
      <t>ジカイ</t>
    </rPh>
    <rPh sb="38" eb="39">
      <t>ガツ</t>
    </rPh>
    <rPh sb="40" eb="42">
      <t>ヒョウジ</t>
    </rPh>
    <rPh sb="45" eb="46">
      <t>ガツ</t>
    </rPh>
    <rPh sb="48" eb="49">
      <t>ガツ</t>
    </rPh>
    <rPh sb="49" eb="52">
      <t>センタクジ</t>
    </rPh>
    <rPh sb="53" eb="55">
      <t>ジカイ</t>
    </rPh>
    <rPh sb="56" eb="57">
      <t>ガツ</t>
    </rPh>
    <rPh sb="58" eb="60">
      <t>ヒョウジ</t>
    </rPh>
    <phoneticPr fontId="1"/>
  </si>
  <si>
    <t>３　→15pF-300pF（6月/12月）　対象月：（5月、6月選択時）次回12月を表示、（11月、12月選択時）次回6月を表示</t>
    <rPh sb="22" eb="24">
      <t>タイショウ</t>
    </rPh>
    <rPh sb="24" eb="25">
      <t>ツキ</t>
    </rPh>
    <rPh sb="28" eb="29">
      <t>ガツ</t>
    </rPh>
    <rPh sb="31" eb="32">
      <t>ガツ</t>
    </rPh>
    <rPh sb="32" eb="35">
      <t>センタクジ</t>
    </rPh>
    <rPh sb="36" eb="38">
      <t>ジカイ</t>
    </rPh>
    <rPh sb="40" eb="41">
      <t>ガツ</t>
    </rPh>
    <rPh sb="42" eb="44">
      <t>ヒョウジ</t>
    </rPh>
    <rPh sb="48" eb="49">
      <t>ガツ</t>
    </rPh>
    <rPh sb="52" eb="53">
      <t>ガツ</t>
    </rPh>
    <rPh sb="53" eb="56">
      <t>センタクジ</t>
    </rPh>
    <rPh sb="57" eb="59">
      <t>ジカイ</t>
    </rPh>
    <rPh sb="60" eb="61">
      <t>ガツ</t>
    </rPh>
    <rPh sb="62" eb="64">
      <t>ヒョウジ</t>
    </rPh>
    <phoneticPr fontId="1"/>
  </si>
  <si>
    <t>○容量選択範囲値を選択したときの次回更新月の自動判定ルーチンを検討開始</t>
    <rPh sb="1" eb="3">
      <t>ヨウリョウ</t>
    </rPh>
    <rPh sb="3" eb="5">
      <t>センタク</t>
    </rPh>
    <rPh sb="5" eb="7">
      <t>ハンイ</t>
    </rPh>
    <rPh sb="7" eb="8">
      <t>アタイ</t>
    </rPh>
    <rPh sb="9" eb="11">
      <t>センタク</t>
    </rPh>
    <rPh sb="16" eb="18">
      <t>ジカイ</t>
    </rPh>
    <rPh sb="18" eb="20">
      <t>コウシン</t>
    </rPh>
    <rPh sb="20" eb="21">
      <t>ツキ</t>
    </rPh>
    <rPh sb="22" eb="24">
      <t>ジドウ</t>
    </rPh>
    <rPh sb="24" eb="26">
      <t>ハンテイ</t>
    </rPh>
    <rPh sb="31" eb="33">
      <t>ケントウ</t>
    </rPh>
    <rPh sb="33" eb="35">
      <t>カイシ</t>
    </rPh>
    <phoneticPr fontId="1"/>
  </si>
  <si>
    <t>○容量選択範囲値を選択してる状態でのうるう年のチェックを入れる検討開始</t>
    <rPh sb="1" eb="3">
      <t>ヨウリョウ</t>
    </rPh>
    <rPh sb="3" eb="5">
      <t>センタク</t>
    </rPh>
    <rPh sb="5" eb="7">
      <t>ハンイ</t>
    </rPh>
    <rPh sb="7" eb="8">
      <t>アタイ</t>
    </rPh>
    <rPh sb="9" eb="11">
      <t>センタク</t>
    </rPh>
    <rPh sb="14" eb="16">
      <t>ジョウタイ</t>
    </rPh>
    <rPh sb="21" eb="22">
      <t>ドシ</t>
    </rPh>
    <rPh sb="28" eb="29">
      <t>イ</t>
    </rPh>
    <rPh sb="31" eb="33">
      <t>ケントウ</t>
    </rPh>
    <rPh sb="33" eb="35">
      <t>カイシ</t>
    </rPh>
    <phoneticPr fontId="1"/>
  </si>
  <si>
    <t>２　→1pF-10pF（2月/8月）の場合の次回更新月が対象となるが</t>
    <rPh sb="13" eb="14">
      <t>ガツ</t>
    </rPh>
    <rPh sb="16" eb="17">
      <t>ガツ</t>
    </rPh>
    <rPh sb="19" eb="21">
      <t>バアイ</t>
    </rPh>
    <rPh sb="22" eb="24">
      <t>ジカイ</t>
    </rPh>
    <rPh sb="24" eb="26">
      <t>コウシン</t>
    </rPh>
    <rPh sb="26" eb="27">
      <t>ツキ</t>
    </rPh>
    <rPh sb="28" eb="30">
      <t>タイショウ</t>
    </rPh>
    <phoneticPr fontId="1"/>
  </si>
  <si>
    <t>処理が必要なのは、7月と8月のみ　この月の場合次回更新月が2月となる為、ここでうるう年の判定処理を行う検討開始</t>
    <rPh sb="0" eb="2">
      <t>ショリ</t>
    </rPh>
    <rPh sb="3" eb="5">
      <t>ヒツヨウ</t>
    </rPh>
    <rPh sb="10" eb="11">
      <t>ガツ</t>
    </rPh>
    <rPh sb="13" eb="14">
      <t>ガツ</t>
    </rPh>
    <rPh sb="19" eb="20">
      <t>ツキ</t>
    </rPh>
    <rPh sb="21" eb="23">
      <t>バアイ</t>
    </rPh>
    <rPh sb="23" eb="25">
      <t>ジカイ</t>
    </rPh>
    <rPh sb="25" eb="27">
      <t>コウシン</t>
    </rPh>
    <rPh sb="27" eb="28">
      <t>ツキ</t>
    </rPh>
    <rPh sb="30" eb="31">
      <t>ガツ</t>
    </rPh>
    <rPh sb="34" eb="35">
      <t>タメ</t>
    </rPh>
    <rPh sb="42" eb="43">
      <t>ネン</t>
    </rPh>
    <rPh sb="44" eb="46">
      <t>ハンテイ</t>
    </rPh>
    <rPh sb="46" eb="48">
      <t>ショリ</t>
    </rPh>
    <rPh sb="49" eb="50">
      <t>オコナ</t>
    </rPh>
    <rPh sb="51" eb="53">
      <t>ケントウ</t>
    </rPh>
    <rPh sb="53" eb="55">
      <t>カイシ</t>
    </rPh>
    <phoneticPr fontId="1"/>
  </si>
  <si>
    <t>2023年10月27日（金）</t>
    <rPh sb="4" eb="5">
      <t>ネン</t>
    </rPh>
    <rPh sb="7" eb="8">
      <t>ガツ</t>
    </rPh>
    <rPh sb="10" eb="11">
      <t>ニチ</t>
    </rPh>
    <rPh sb="12" eb="13">
      <t>キン</t>
    </rPh>
    <phoneticPr fontId="1"/>
  </si>
  <si>
    <t>○ダブルクリックでの年月日対象外セルに変更　セル”AQ42”  の列の"AQ" , 行の"42"      ：　”$AQ$42"</t>
    <rPh sb="10" eb="12">
      <t>ネンゲツ</t>
    </rPh>
    <rPh sb="12" eb="13">
      <t>ヒ</t>
    </rPh>
    <rPh sb="13" eb="15">
      <t>タイショウ</t>
    </rPh>
    <rPh sb="15" eb="16">
      <t>ガイ</t>
    </rPh>
    <rPh sb="19" eb="21">
      <t>ヘンコウ</t>
    </rPh>
    <rPh sb="33" eb="34">
      <t>レツ</t>
    </rPh>
    <rPh sb="42" eb="43">
      <t>ギョウ</t>
    </rPh>
    <phoneticPr fontId="1"/>
  </si>
  <si>
    <t>セル”$AQ$42"は　単に値を表示するセルに変更</t>
    <rPh sb="12" eb="13">
      <t>タン</t>
    </rPh>
    <rPh sb="14" eb="15">
      <t>アタイ</t>
    </rPh>
    <rPh sb="16" eb="18">
      <t>ヒョウジ</t>
    </rPh>
    <rPh sb="23" eb="25">
      <t>ヘンコウ</t>
    </rPh>
    <phoneticPr fontId="1"/>
  </si>
  <si>
    <t>1pF～10pF（3月/9月）</t>
    <rPh sb="10" eb="11">
      <t>ガツ</t>
    </rPh>
    <rPh sb="13" eb="14">
      <t>ガツ</t>
    </rPh>
    <phoneticPr fontId="1"/>
  </si>
  <si>
    <t>15pF～300pF（4月/10月）</t>
    <rPh sb="12" eb="13">
      <t>ガツ</t>
    </rPh>
    <rPh sb="16" eb="17">
      <t>ガツ</t>
    </rPh>
    <phoneticPr fontId="1"/>
  </si>
  <si>
    <t>未設定：</t>
    <rPh sb="0" eb="3">
      <t>ミセッテイ</t>
    </rPh>
    <phoneticPr fontId="1"/>
  </si>
  <si>
    <t>新規時候補</t>
    <rPh sb="0" eb="2">
      <t>シンキ</t>
    </rPh>
    <rPh sb="2" eb="3">
      <t>ジ</t>
    </rPh>
    <rPh sb="3" eb="5">
      <t>コウホ</t>
    </rPh>
    <phoneticPr fontId="1"/>
  </si>
  <si>
    <t>新規作成依頼-&gt;未対応</t>
    <rPh sb="0" eb="2">
      <t>シンキ</t>
    </rPh>
    <rPh sb="2" eb="4">
      <t>サクセイ</t>
    </rPh>
    <rPh sb="4" eb="6">
      <t>イライ</t>
    </rPh>
    <rPh sb="8" eb="11">
      <t>ミタイオウ</t>
    </rPh>
    <phoneticPr fontId="1"/>
  </si>
  <si>
    <t>2023年11月01日（水）</t>
    <rPh sb="4" eb="5">
      <t>ネン</t>
    </rPh>
    <rPh sb="7" eb="8">
      <t>ガツ</t>
    </rPh>
    <rPh sb="10" eb="11">
      <t>ニチ</t>
    </rPh>
    <rPh sb="12" eb="13">
      <t>スイ</t>
    </rPh>
    <phoneticPr fontId="1"/>
  </si>
  <si>
    <t>○新規登録未対応である事の表示を組み込みし　新規登録のサブスタンダードがある場合はQAに連絡する様にメッセージ入れる</t>
    <rPh sb="1" eb="5">
      <t>シンキトウロク</t>
    </rPh>
    <rPh sb="5" eb="8">
      <t>ミタイオウ</t>
    </rPh>
    <rPh sb="11" eb="12">
      <t>コト</t>
    </rPh>
    <rPh sb="13" eb="15">
      <t>ヒョウジ</t>
    </rPh>
    <rPh sb="16" eb="17">
      <t>ク</t>
    </rPh>
    <rPh sb="18" eb="19">
      <t>コ</t>
    </rPh>
    <rPh sb="22" eb="26">
      <t>シンキトウロク</t>
    </rPh>
    <rPh sb="38" eb="40">
      <t>バアイ</t>
    </rPh>
    <rPh sb="44" eb="46">
      <t>レンラク</t>
    </rPh>
    <rPh sb="48" eb="49">
      <t>ヨウ</t>
    </rPh>
    <rPh sb="55" eb="56">
      <t>イ</t>
    </rPh>
    <phoneticPr fontId="1"/>
  </si>
  <si>
    <t>追加作成時の次回更新月の設定修正実施</t>
    <rPh sb="0" eb="2">
      <t>ツイカ</t>
    </rPh>
    <rPh sb="2" eb="5">
      <t>サクセイジ</t>
    </rPh>
    <rPh sb="6" eb="8">
      <t>ジカイ</t>
    </rPh>
    <rPh sb="8" eb="10">
      <t>コウシン</t>
    </rPh>
    <rPh sb="10" eb="11">
      <t>ツキ</t>
    </rPh>
    <rPh sb="12" eb="14">
      <t>セッテイ</t>
    </rPh>
    <rPh sb="14" eb="16">
      <t>シュウセイ</t>
    </rPh>
    <rPh sb="16" eb="18">
      <t>ジッシ</t>
    </rPh>
    <phoneticPr fontId="1"/>
  </si>
  <si>
    <t>最終デバッグ実施</t>
    <rPh sb="0" eb="2">
      <t>サイシュウ</t>
    </rPh>
    <rPh sb="6" eb="8">
      <t>ジッシ</t>
    </rPh>
    <phoneticPr fontId="1"/>
  </si>
  <si>
    <t>確認実施【依頼内容】選択状態での各自動、月、年月日（次回更新月、次回有効期限、発行年月日）情報表示</t>
    <rPh sb="0" eb="2">
      <t>カクニン</t>
    </rPh>
    <rPh sb="2" eb="4">
      <t>ジッシ</t>
    </rPh>
    <rPh sb="5" eb="9">
      <t>イライナイヨウ</t>
    </rPh>
    <rPh sb="10" eb="12">
      <t>センタク</t>
    </rPh>
    <rPh sb="12" eb="14">
      <t>ジョウタイ</t>
    </rPh>
    <rPh sb="16" eb="17">
      <t>カク</t>
    </rPh>
    <rPh sb="17" eb="19">
      <t>ジドウ</t>
    </rPh>
    <rPh sb="20" eb="21">
      <t>ツキ</t>
    </rPh>
    <rPh sb="22" eb="24">
      <t>ネンゲツ</t>
    </rPh>
    <rPh sb="24" eb="25">
      <t>ヒ</t>
    </rPh>
    <rPh sb="26" eb="28">
      <t>ジカイ</t>
    </rPh>
    <rPh sb="28" eb="30">
      <t>コウシン</t>
    </rPh>
    <rPh sb="30" eb="31">
      <t>ツキ</t>
    </rPh>
    <rPh sb="32" eb="34">
      <t>ジカイ</t>
    </rPh>
    <rPh sb="34" eb="36">
      <t>ユウコウ</t>
    </rPh>
    <rPh sb="36" eb="38">
      <t>キゲン</t>
    </rPh>
    <rPh sb="39" eb="41">
      <t>ハッコウ</t>
    </rPh>
    <rPh sb="41" eb="44">
      <t>ネンガッピ</t>
    </rPh>
    <rPh sb="45" eb="47">
      <t>ジョウホウ</t>
    </rPh>
    <rPh sb="47" eb="49">
      <t>ヒョウジ</t>
    </rPh>
    <phoneticPr fontId="1"/>
  </si>
  <si>
    <t>１．空欄</t>
    <rPh sb="2" eb="4">
      <t>クウラン</t>
    </rPh>
    <phoneticPr fontId="1"/>
  </si>
  <si>
    <t>２．期限更新分</t>
    <rPh sb="2" eb="4">
      <t>キゲン</t>
    </rPh>
    <rPh sb="4" eb="6">
      <t>コウシン</t>
    </rPh>
    <rPh sb="6" eb="7">
      <t>ブン</t>
    </rPh>
    <phoneticPr fontId="1"/>
  </si>
  <si>
    <t>４．追加作成</t>
    <rPh sb="2" eb="4">
      <t>ツイカ</t>
    </rPh>
    <rPh sb="4" eb="6">
      <t>サクセイ</t>
    </rPh>
    <phoneticPr fontId="1"/>
  </si>
  <si>
    <t>５．その他</t>
    <rPh sb="4" eb="5">
      <t>タ</t>
    </rPh>
    <phoneticPr fontId="1"/>
  </si>
  <si>
    <t>【依頼内容】</t>
    <rPh sb="1" eb="3">
      <t>イライ</t>
    </rPh>
    <rPh sb="3" eb="5">
      <t>ナイヨウ</t>
    </rPh>
    <phoneticPr fontId="1"/>
  </si>
  <si>
    <t>【容量範囲選択】</t>
    <rPh sb="1" eb="3">
      <t>ヨウリョウ</t>
    </rPh>
    <rPh sb="3" eb="5">
      <t>ハンイ</t>
    </rPh>
    <rPh sb="5" eb="7">
      <t>センタク</t>
    </rPh>
    <phoneticPr fontId="1"/>
  </si>
  <si>
    <t>２．1pF～10pF (2月/8月）</t>
    <rPh sb="13" eb="14">
      <t>ガツ</t>
    </rPh>
    <rPh sb="16" eb="17">
      <t>ガツ</t>
    </rPh>
    <phoneticPr fontId="1"/>
  </si>
  <si>
    <t>３．15㎊～300pF(6月/12月）</t>
    <rPh sb="13" eb="14">
      <t>ガツ</t>
    </rPh>
    <rPh sb="17" eb="18">
      <t>ガツ</t>
    </rPh>
    <phoneticPr fontId="1"/>
  </si>
  <si>
    <t>下記の依頼内容の組み合わせによる自動での月、年月日、申請外月、申請月外-設定無　等の表示</t>
    <rPh sb="0" eb="2">
      <t>カキ</t>
    </rPh>
    <rPh sb="3" eb="7">
      <t>イライナイヨウ</t>
    </rPh>
    <rPh sb="8" eb="9">
      <t>ク</t>
    </rPh>
    <rPh sb="10" eb="11">
      <t>ア</t>
    </rPh>
    <rPh sb="16" eb="18">
      <t>ジドウ</t>
    </rPh>
    <rPh sb="20" eb="21">
      <t>ツキ</t>
    </rPh>
    <rPh sb="22" eb="25">
      <t>ネンゲツヒ</t>
    </rPh>
    <rPh sb="26" eb="28">
      <t>シンセイ</t>
    </rPh>
    <rPh sb="28" eb="29">
      <t>ガイ</t>
    </rPh>
    <rPh sb="29" eb="30">
      <t>ツキ</t>
    </rPh>
    <rPh sb="31" eb="34">
      <t>シンセイツキ</t>
    </rPh>
    <rPh sb="34" eb="35">
      <t>ガイ</t>
    </rPh>
    <rPh sb="36" eb="38">
      <t>セッテイ</t>
    </rPh>
    <rPh sb="38" eb="39">
      <t>ナシ</t>
    </rPh>
    <rPh sb="40" eb="41">
      <t>トウ</t>
    </rPh>
    <rPh sb="42" eb="44">
      <t>ヒョウジ</t>
    </rPh>
    <phoneticPr fontId="1"/>
  </si>
  <si>
    <t>３．新規作成依頼―＞未対応　　　　　</t>
    <rPh sb="2" eb="4">
      <t>シンキ</t>
    </rPh>
    <rPh sb="4" eb="6">
      <t>サクセイ</t>
    </rPh>
    <rPh sb="6" eb="8">
      <t>イライ</t>
    </rPh>
    <rPh sb="10" eb="11">
      <t>ミ</t>
    </rPh>
    <rPh sb="11" eb="13">
      <t>タイオウ</t>
    </rPh>
    <phoneticPr fontId="1"/>
  </si>
  <si>
    <t>上記３.新規作成依頼ー＞未対応 に関しては、この様式では下記の［容量範囲選択］の月を1pF-10pFと15pF-300pF用に</t>
    <rPh sb="0" eb="2">
      <t>ジョウキ</t>
    </rPh>
    <rPh sb="4" eb="6">
      <t>シンキ</t>
    </rPh>
    <rPh sb="6" eb="8">
      <t>サクセイ</t>
    </rPh>
    <rPh sb="8" eb="10">
      <t>イライ</t>
    </rPh>
    <rPh sb="12" eb="15">
      <t>ミタイオウ</t>
    </rPh>
    <rPh sb="17" eb="18">
      <t>カン</t>
    </rPh>
    <rPh sb="24" eb="26">
      <t>ヨウシキ</t>
    </rPh>
    <rPh sb="28" eb="30">
      <t>カキ</t>
    </rPh>
    <rPh sb="32" eb="34">
      <t>ヨウリョウ</t>
    </rPh>
    <rPh sb="34" eb="36">
      <t>ハンイ</t>
    </rPh>
    <rPh sb="36" eb="38">
      <t>センタク</t>
    </rPh>
    <rPh sb="40" eb="41">
      <t>ツキ</t>
    </rPh>
    <rPh sb="61" eb="62">
      <t>ヨウ</t>
    </rPh>
    <phoneticPr fontId="1"/>
  </si>
  <si>
    <t>それぞれ月を割り当てる必要があり、容量範囲選択上にまだ対応月が反映されていないので処理はできないので、品質保証部</t>
    <rPh sb="4" eb="5">
      <t>ツキ</t>
    </rPh>
    <rPh sb="6" eb="7">
      <t>ワ</t>
    </rPh>
    <rPh sb="8" eb="9">
      <t>ア</t>
    </rPh>
    <rPh sb="11" eb="13">
      <t>ヒツヨウ</t>
    </rPh>
    <rPh sb="17" eb="19">
      <t>ヨウリョウ</t>
    </rPh>
    <rPh sb="19" eb="21">
      <t>ハンイ</t>
    </rPh>
    <rPh sb="21" eb="23">
      <t>センタク</t>
    </rPh>
    <rPh sb="23" eb="24">
      <t>ジョウ</t>
    </rPh>
    <rPh sb="27" eb="29">
      <t>タイオウ</t>
    </rPh>
    <rPh sb="29" eb="30">
      <t>ツキ</t>
    </rPh>
    <rPh sb="31" eb="33">
      <t>ハンエイ</t>
    </rPh>
    <rPh sb="41" eb="43">
      <t>ショリ</t>
    </rPh>
    <rPh sb="51" eb="53">
      <t>ヒンシツ</t>
    </rPh>
    <rPh sb="53" eb="55">
      <t>ホショウ</t>
    </rPh>
    <rPh sb="55" eb="56">
      <t>ブ</t>
    </rPh>
    <phoneticPr fontId="1"/>
  </si>
  <si>
    <t>マネジメントシステム課の計測担当へ連絡してもらうようにメッセージ表示の対応のみとしてある。</t>
    <rPh sb="10" eb="11">
      <t>カ</t>
    </rPh>
    <rPh sb="12" eb="14">
      <t>ケイソク</t>
    </rPh>
    <rPh sb="14" eb="16">
      <t>タントウ</t>
    </rPh>
    <rPh sb="17" eb="19">
      <t>レンラク</t>
    </rPh>
    <rPh sb="32" eb="34">
      <t>ヒョウジ</t>
    </rPh>
    <rPh sb="35" eb="37">
      <t>タイオウ</t>
    </rPh>
    <phoneticPr fontId="1"/>
  </si>
  <si>
    <t>作成予定年月日の処理を追加</t>
    <rPh sb="0" eb="4">
      <t>サクセイヨテイ</t>
    </rPh>
    <rPh sb="4" eb="7">
      <t>ネンゲツヒ</t>
    </rPh>
    <rPh sb="8" eb="10">
      <t>ショリ</t>
    </rPh>
    <rPh sb="11" eb="13">
      <t>ツイカ</t>
    </rPh>
    <phoneticPr fontId="1"/>
  </si>
  <si>
    <t>（共通使用の年月日カレンダーを表示させアクティブシートの”$J$55"セルに作成予定年月日をカレンダークリックする事に</t>
    <rPh sb="1" eb="3">
      <t>キョウツウ</t>
    </rPh>
    <rPh sb="3" eb="5">
      <t>シヨウ</t>
    </rPh>
    <rPh sb="6" eb="9">
      <t>ネンゲツヒ</t>
    </rPh>
    <rPh sb="15" eb="17">
      <t>ヒョウジ</t>
    </rPh>
    <rPh sb="38" eb="40">
      <t>サクセイ</t>
    </rPh>
    <rPh sb="40" eb="42">
      <t>ヨテイ</t>
    </rPh>
    <rPh sb="42" eb="45">
      <t>ネンゲツヒ</t>
    </rPh>
    <rPh sb="57" eb="58">
      <t>コト</t>
    </rPh>
    <phoneticPr fontId="1"/>
  </si>
  <si>
    <t>より入れる。今日の日付以降処理継続、今日の日付以前ではエラーメッセージを出す。”作成予定日に過去の年月日は設定できません”</t>
    <rPh sb="2" eb="3">
      <t>イ</t>
    </rPh>
    <rPh sb="6" eb="8">
      <t>キョウ</t>
    </rPh>
    <rPh sb="9" eb="11">
      <t>ヒヅケ</t>
    </rPh>
    <rPh sb="11" eb="13">
      <t>イコウ</t>
    </rPh>
    <rPh sb="13" eb="15">
      <t>ショリ</t>
    </rPh>
    <rPh sb="15" eb="17">
      <t>ケイゾク</t>
    </rPh>
    <rPh sb="18" eb="20">
      <t>キョウ</t>
    </rPh>
    <rPh sb="21" eb="23">
      <t>ヒヅケ</t>
    </rPh>
    <rPh sb="23" eb="25">
      <t>イゼン</t>
    </rPh>
    <rPh sb="36" eb="37">
      <t>ダ</t>
    </rPh>
    <rPh sb="40" eb="42">
      <t>サクセイ</t>
    </rPh>
    <rPh sb="42" eb="44">
      <t>ヨテイ</t>
    </rPh>
    <rPh sb="44" eb="45">
      <t>ビ</t>
    </rPh>
    <rPh sb="46" eb="48">
      <t>カコ</t>
    </rPh>
    <rPh sb="49" eb="51">
      <t>ネンゲツ</t>
    </rPh>
    <rPh sb="51" eb="52">
      <t>ヒ</t>
    </rPh>
    <rPh sb="53" eb="55">
      <t>セッテイ</t>
    </rPh>
    <phoneticPr fontId="1"/>
  </si>
  <si>
    <t>2024年1月18日（木）</t>
    <rPh sb="4" eb="5">
      <t>ネン</t>
    </rPh>
    <rPh sb="6" eb="7">
      <t>ガツ</t>
    </rPh>
    <rPh sb="9" eb="10">
      <t>ニチ</t>
    </rPh>
    <rPh sb="11" eb="12">
      <t>モク</t>
    </rPh>
    <phoneticPr fontId="1"/>
  </si>
  <si>
    <t>2024年1月19日（金）</t>
    <rPh sb="4" eb="5">
      <t>ネン</t>
    </rPh>
    <rPh sb="6" eb="7">
      <t>ガツ</t>
    </rPh>
    <rPh sb="9" eb="10">
      <t>ニチ</t>
    </rPh>
    <rPh sb="11" eb="12">
      <t>キン</t>
    </rPh>
    <phoneticPr fontId="1"/>
  </si>
  <si>
    <t>同じ年月日ルーチンではDoubleクリック処理が保護時出来ない事が判明、対策として単独でカレンダーをもう一つ作成し起動して</t>
    <rPh sb="0" eb="1">
      <t>オナ</t>
    </rPh>
    <rPh sb="2" eb="5">
      <t>ネンゲツヒ</t>
    </rPh>
    <rPh sb="21" eb="23">
      <t>ショリ</t>
    </rPh>
    <rPh sb="24" eb="27">
      <t>ホゴジ</t>
    </rPh>
    <rPh sb="27" eb="29">
      <t>デキ</t>
    </rPh>
    <rPh sb="31" eb="32">
      <t>コト</t>
    </rPh>
    <rPh sb="33" eb="35">
      <t>ハンメイ</t>
    </rPh>
    <rPh sb="36" eb="38">
      <t>タイサク</t>
    </rPh>
    <rPh sb="41" eb="43">
      <t>タンドク</t>
    </rPh>
    <rPh sb="52" eb="53">
      <t>ヒト</t>
    </rPh>
    <rPh sb="54" eb="56">
      <t>サクセイ</t>
    </rPh>
    <rPh sb="57" eb="59">
      <t>キドウ</t>
    </rPh>
    <phoneticPr fontId="1"/>
  </si>
  <si>
    <t>SUB-STD作成年月日を設定できるように検討開始</t>
    <rPh sb="7" eb="9">
      <t>サクセイ</t>
    </rPh>
    <rPh sb="9" eb="11">
      <t>ネンゲツ</t>
    </rPh>
    <rPh sb="11" eb="12">
      <t>ヒ</t>
    </rPh>
    <rPh sb="13" eb="15">
      <t>セッテイ</t>
    </rPh>
    <rPh sb="21" eb="23">
      <t>ケントウ</t>
    </rPh>
    <rPh sb="23" eb="25">
      <t>カイシ</t>
    </rPh>
    <phoneticPr fontId="1"/>
  </si>
  <si>
    <t>北上工場素地検査</t>
    <rPh sb="0" eb="2">
      <t>キタカミ</t>
    </rPh>
    <rPh sb="2" eb="4">
      <t>コウジョウ</t>
    </rPh>
    <rPh sb="4" eb="6">
      <t>ソジ</t>
    </rPh>
    <rPh sb="6" eb="8">
      <t>ケンサ</t>
    </rPh>
    <phoneticPr fontId="1"/>
  </si>
  <si>
    <t>北上OCK製品検査</t>
    <rPh sb="0" eb="2">
      <t>キタカミ</t>
    </rPh>
    <rPh sb="5" eb="7">
      <t>セイヒン</t>
    </rPh>
    <rPh sb="7" eb="9">
      <t>ケンサ</t>
    </rPh>
    <phoneticPr fontId="1"/>
  </si>
  <si>
    <t>北上OCK測定工程</t>
    <rPh sb="0" eb="2">
      <t>キタカミ</t>
    </rPh>
    <rPh sb="5" eb="7">
      <t>ソクテイ</t>
    </rPh>
    <rPh sb="7" eb="9">
      <t>コウテイ</t>
    </rPh>
    <phoneticPr fontId="1"/>
  </si>
  <si>
    <t>2024年1月31日（水）</t>
    <rPh sb="4" eb="5">
      <t>ネン</t>
    </rPh>
    <rPh sb="6" eb="7">
      <t>ガツ</t>
    </rPh>
    <rPh sb="9" eb="10">
      <t>ニチ</t>
    </rPh>
    <rPh sb="11" eb="12">
      <t>スイ</t>
    </rPh>
    <phoneticPr fontId="1"/>
  </si>
  <si>
    <t>追加申請時の任意月日での　発行日より前か後かの日付判定処理追加</t>
    <rPh sb="0" eb="2">
      <t>ツイカ</t>
    </rPh>
    <rPh sb="2" eb="4">
      <t>シンセイ</t>
    </rPh>
    <rPh sb="4" eb="5">
      <t>ジ</t>
    </rPh>
    <rPh sb="6" eb="8">
      <t>ニンイ</t>
    </rPh>
    <rPh sb="8" eb="10">
      <t>ガッピ</t>
    </rPh>
    <rPh sb="13" eb="15">
      <t>ハッコウ</t>
    </rPh>
    <rPh sb="15" eb="16">
      <t>ビ</t>
    </rPh>
    <rPh sb="18" eb="19">
      <t>マエ</t>
    </rPh>
    <rPh sb="20" eb="21">
      <t>アト</t>
    </rPh>
    <rPh sb="23" eb="25">
      <t>ヒヅケ</t>
    </rPh>
    <rPh sb="25" eb="27">
      <t>ハンテイ</t>
    </rPh>
    <rPh sb="27" eb="29">
      <t>ショリ</t>
    </rPh>
    <rPh sb="29" eb="31">
      <t>ツイカ</t>
    </rPh>
    <phoneticPr fontId="1"/>
  </si>
  <si>
    <t>発行日より前の場合は作成日は発行日より後となるメッセージを出し、再度発行日より最低でも１日後より作成日設定OKとする</t>
    <rPh sb="0" eb="2">
      <t>ハッコウ</t>
    </rPh>
    <rPh sb="2" eb="3">
      <t>ビ</t>
    </rPh>
    <rPh sb="5" eb="6">
      <t>マエ</t>
    </rPh>
    <rPh sb="7" eb="9">
      <t>バアイ</t>
    </rPh>
    <rPh sb="10" eb="12">
      <t>サクセイ</t>
    </rPh>
    <rPh sb="12" eb="13">
      <t>ビ</t>
    </rPh>
    <rPh sb="14" eb="16">
      <t>ハッコウ</t>
    </rPh>
    <rPh sb="16" eb="17">
      <t>ビ</t>
    </rPh>
    <rPh sb="19" eb="20">
      <t>アト</t>
    </rPh>
    <rPh sb="29" eb="30">
      <t>ダ</t>
    </rPh>
    <rPh sb="32" eb="34">
      <t>サイド</t>
    </rPh>
    <rPh sb="34" eb="36">
      <t>ハッコウ</t>
    </rPh>
    <rPh sb="36" eb="37">
      <t>ビ</t>
    </rPh>
    <rPh sb="39" eb="41">
      <t>サイテイ</t>
    </rPh>
    <rPh sb="44" eb="45">
      <t>ニチ</t>
    </rPh>
    <rPh sb="45" eb="46">
      <t>ゴ</t>
    </rPh>
    <rPh sb="48" eb="50">
      <t>サクセイ</t>
    </rPh>
    <rPh sb="50" eb="51">
      <t>ビ</t>
    </rPh>
    <rPh sb="51" eb="53">
      <t>セッテイ</t>
    </rPh>
    <phoneticPr fontId="1"/>
  </si>
  <si>
    <t>仕様での、コーディング実施</t>
    <rPh sb="11" eb="13">
      <t>ジッシ</t>
    </rPh>
    <phoneticPr fontId="1"/>
  </si>
  <si>
    <t>2024年2月2日（金）</t>
    <rPh sb="4" eb="5">
      <t>ネン</t>
    </rPh>
    <rPh sb="6" eb="7">
      <t>ガツ</t>
    </rPh>
    <rPh sb="8" eb="9">
      <t>カ</t>
    </rPh>
    <rPh sb="10" eb="11">
      <t>キン</t>
    </rPh>
    <phoneticPr fontId="1"/>
  </si>
  <si>
    <t>2024年8月31日が更新済みの場合</t>
    <rPh sb="4" eb="5">
      <t>ネン</t>
    </rPh>
    <rPh sb="6" eb="7">
      <t>ガツ</t>
    </rPh>
    <rPh sb="9" eb="10">
      <t>ニチ</t>
    </rPh>
    <rPh sb="11" eb="13">
      <t>コウシン</t>
    </rPh>
    <rPh sb="13" eb="14">
      <t>ズ</t>
    </rPh>
    <rPh sb="16" eb="18">
      <t>バアイ</t>
    </rPh>
    <phoneticPr fontId="1"/>
  </si>
  <si>
    <t>2024年10月中の日付発行年月日では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</si>
  <si>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2024年9月中の日付発行年月日では　  次回更新年月：2025年2月28日</t>
    <rPh sb="4" eb="5">
      <t>ネン</t>
    </rPh>
    <rPh sb="6" eb="7">
      <t>ガツ</t>
    </rPh>
    <rPh sb="7" eb="8">
      <t>チュウ</t>
    </rPh>
    <rPh sb="9" eb="11">
      <t>ヒヅケ</t>
    </rPh>
    <rPh sb="11" eb="13">
      <t>ハッコウ</t>
    </rPh>
    <rPh sb="13" eb="16">
      <t>ネンガッピ</t>
    </rPh>
    <rPh sb="21" eb="23">
      <t>ジカイ</t>
    </rPh>
    <rPh sb="23" eb="25">
      <t>コウシン</t>
    </rPh>
    <rPh sb="25" eb="27">
      <t>ネンガツ</t>
    </rPh>
    <rPh sb="32" eb="33">
      <t>ネン</t>
    </rPh>
    <rPh sb="34" eb="35">
      <t>ガツ</t>
    </rPh>
    <rPh sb="37" eb="38">
      <t>ニチ</t>
    </rPh>
    <phoneticPr fontId="1"/>
  </si>
  <si>
    <t>2024年11月中の日付発行年月日では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</si>
  <si>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2024年12月中の日付発行年月日では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</si>
  <si>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追加発行処理のケースのコーディング（他うるう年計算追加処理）</t>
    <rPh sb="0" eb="2">
      <t>ツイカ</t>
    </rPh>
    <rPh sb="2" eb="4">
      <t>ハッコウ</t>
    </rPh>
    <rPh sb="4" eb="6">
      <t>ショリ</t>
    </rPh>
    <rPh sb="18" eb="19">
      <t>ホカ</t>
    </rPh>
    <rPh sb="22" eb="23">
      <t>ドシ</t>
    </rPh>
    <rPh sb="23" eb="25">
      <t>ケイサン</t>
    </rPh>
    <rPh sb="25" eb="27">
      <t>ツイカ</t>
    </rPh>
    <rPh sb="27" eb="29">
      <t>ショリ</t>
    </rPh>
    <phoneticPr fontId="1"/>
  </si>
  <si>
    <t>計算用カレンダー発行日入れ子：LGNENN</t>
    <rPh sb="0" eb="2">
      <t>ケイサン</t>
    </rPh>
    <rPh sb="2" eb="3">
      <t>ヨウ</t>
    </rPh>
    <rPh sb="8" eb="10">
      <t>ハッコウ</t>
    </rPh>
    <rPh sb="10" eb="11">
      <t>ビ</t>
    </rPh>
    <rPh sb="11" eb="12">
      <t>イ</t>
    </rPh>
    <rPh sb="13" eb="14">
      <t>コ</t>
    </rPh>
    <phoneticPr fontId="1"/>
  </si>
  <si>
    <t>LGNENN= NENNとすることで計算用にLGNENNの別文字変数を使い、発行日のNENNはそのまま使用可能に変更した。</t>
    <rPh sb="18" eb="20">
      <t>ケイサン</t>
    </rPh>
    <rPh sb="20" eb="21">
      <t>ヨウ</t>
    </rPh>
    <rPh sb="29" eb="30">
      <t>ベツ</t>
    </rPh>
    <rPh sb="30" eb="32">
      <t>モジ</t>
    </rPh>
    <rPh sb="32" eb="34">
      <t>ヘンスウ</t>
    </rPh>
    <rPh sb="35" eb="36">
      <t>ツカ</t>
    </rPh>
    <rPh sb="38" eb="40">
      <t>ハッコウ</t>
    </rPh>
    <rPh sb="40" eb="41">
      <t>ビ</t>
    </rPh>
    <rPh sb="51" eb="53">
      <t>シヨウ</t>
    </rPh>
    <rPh sb="53" eb="55">
      <t>カノウ</t>
    </rPh>
    <rPh sb="56" eb="58">
      <t>ヘンコウ</t>
    </rPh>
    <phoneticPr fontId="1"/>
  </si>
  <si>
    <t>（今まではNENNを計算したNENNに変えて使用した為、発行年が変更されてしまっていた問題）</t>
    <rPh sb="28" eb="30">
      <t>ハッコウ</t>
    </rPh>
    <rPh sb="30" eb="31">
      <t>トシ</t>
    </rPh>
    <rPh sb="32" eb="34">
      <t>ヘンコウ</t>
    </rPh>
    <rPh sb="43" eb="45">
      <t>モンダイ</t>
    </rPh>
    <phoneticPr fontId="1"/>
  </si>
  <si>
    <t>1pF～10pF（2月/8月更新月）時の追加での次年度発行日の場合の次回更新日不具合のケース</t>
    <rPh sb="10" eb="11">
      <t>ガツ</t>
    </rPh>
    <rPh sb="13" eb="14">
      <t>ガツ</t>
    </rPh>
    <rPh sb="14" eb="16">
      <t>コウシン</t>
    </rPh>
    <rPh sb="16" eb="17">
      <t>ツキ</t>
    </rPh>
    <rPh sb="18" eb="19">
      <t>ジ</t>
    </rPh>
    <rPh sb="20" eb="22">
      <t>ツイカ</t>
    </rPh>
    <rPh sb="24" eb="27">
      <t>ジネンド</t>
    </rPh>
    <rPh sb="27" eb="29">
      <t>ハッコウ</t>
    </rPh>
    <rPh sb="29" eb="30">
      <t>ビ</t>
    </rPh>
    <rPh sb="31" eb="33">
      <t>バアイ</t>
    </rPh>
    <rPh sb="34" eb="36">
      <t>ジカイ</t>
    </rPh>
    <rPh sb="36" eb="39">
      <t>コウシンビ</t>
    </rPh>
    <rPh sb="39" eb="42">
      <t>フグアイ</t>
    </rPh>
    <phoneticPr fontId="1"/>
  </si>
  <si>
    <t>バグ問題①2025年1月中の日付発行年月日では　 次回更新年月日：2025年2月28日とならず2026年2月28日となってしまうバグ</t>
    <rPh sb="2" eb="4">
      <t>モンダイ</t>
    </rPh>
    <rPh sb="9" eb="10">
      <t>ネン</t>
    </rPh>
    <rPh sb="11" eb="12">
      <t>ガツ</t>
    </rPh>
    <rPh sb="12" eb="13">
      <t>チュウ</t>
    </rPh>
    <rPh sb="14" eb="16">
      <t>ヒヅケ</t>
    </rPh>
    <rPh sb="16" eb="18">
      <t>ハッコウ</t>
    </rPh>
    <rPh sb="18" eb="21">
      <t>ネンガッピ</t>
    </rPh>
    <rPh sb="25" eb="27">
      <t>ジカイ</t>
    </rPh>
    <rPh sb="27" eb="29">
      <t>コウシン</t>
    </rPh>
    <rPh sb="29" eb="32">
      <t>ネンガッピ</t>
    </rPh>
    <rPh sb="37" eb="38">
      <t>ネン</t>
    </rPh>
    <rPh sb="39" eb="40">
      <t>ガツ</t>
    </rPh>
    <rPh sb="42" eb="43">
      <t>ニチ</t>
    </rPh>
    <rPh sb="51" eb="52">
      <t>ネン</t>
    </rPh>
    <rPh sb="53" eb="54">
      <t>ガツ</t>
    </rPh>
    <rPh sb="56" eb="57">
      <t>ニチ</t>
    </rPh>
    <phoneticPr fontId="1"/>
  </si>
  <si>
    <r>
      <rPr>
        <b/>
        <sz val="11"/>
        <color theme="1"/>
        <rFont val="游ゴシック"/>
        <family val="3"/>
        <charset val="128"/>
        <scheme val="minor"/>
      </rPr>
      <t>次年度の1月追加発行日のケースのバグ対策：</t>
    </r>
    <r>
      <rPr>
        <sz val="11"/>
        <color theme="1"/>
        <rFont val="游ゴシック"/>
        <family val="2"/>
        <charset val="128"/>
        <scheme val="minor"/>
      </rPr>
      <t>PC時計（本日年月日）と発行カレンダー年月日を比較する為に発行カレンダー年情報を別変数に</t>
    </r>
    <rPh sb="0" eb="3">
      <t>ジネンド</t>
    </rPh>
    <rPh sb="5" eb="6">
      <t>ガツ</t>
    </rPh>
    <rPh sb="6" eb="8">
      <t>ツイカ</t>
    </rPh>
    <rPh sb="8" eb="10">
      <t>ハッコウ</t>
    </rPh>
    <rPh sb="10" eb="11">
      <t>ビ</t>
    </rPh>
    <rPh sb="18" eb="20">
      <t>タイサク</t>
    </rPh>
    <rPh sb="23" eb="25">
      <t>ドケイ</t>
    </rPh>
    <rPh sb="26" eb="28">
      <t>ホンジツ</t>
    </rPh>
    <rPh sb="28" eb="31">
      <t>ネンガッピ</t>
    </rPh>
    <rPh sb="33" eb="35">
      <t>ハッコウ</t>
    </rPh>
    <rPh sb="40" eb="43">
      <t>ネンガッピ</t>
    </rPh>
    <rPh sb="44" eb="46">
      <t>ヒカク</t>
    </rPh>
    <rPh sb="48" eb="49">
      <t>タメ</t>
    </rPh>
    <rPh sb="50" eb="52">
      <t>ハッコウ</t>
    </rPh>
    <rPh sb="57" eb="58">
      <t>ネン</t>
    </rPh>
    <rPh sb="58" eb="60">
      <t>ジョウホウ</t>
    </rPh>
    <rPh sb="61" eb="64">
      <t>ベツヘンスウ</t>
    </rPh>
    <phoneticPr fontId="1"/>
  </si>
  <si>
    <t>取り込み発行日はそのまま使用できるように追加</t>
    <rPh sb="12" eb="14">
      <t>シヨウ</t>
    </rPh>
    <rPh sb="20" eb="22">
      <t>ツイカ</t>
    </rPh>
    <phoneticPr fontId="1"/>
  </si>
  <si>
    <t>　　　　　カレンダー発行日    ：NENN</t>
    <rPh sb="10" eb="12">
      <t>ハッコウ</t>
    </rPh>
    <rPh sb="12" eb="13">
      <t>ビ</t>
    </rPh>
    <phoneticPr fontId="1"/>
  </si>
  <si>
    <t xml:space="preserve">　　　　　PC時計(本日）        ：TOSHI </t>
    <rPh sb="7" eb="9">
      <t>ドケイ</t>
    </rPh>
    <rPh sb="10" eb="12">
      <t>ホンジツ</t>
    </rPh>
    <phoneticPr fontId="1"/>
  </si>
  <si>
    <t>対策済①2025年1月中の日付発行年月日では　 次回更新年月日：2025年2月28日 ・・・解決済</t>
    <rPh sb="0" eb="2">
      <t>タイサク</t>
    </rPh>
    <rPh sb="2" eb="3">
      <t>ズミ</t>
    </rPh>
    <rPh sb="8" eb="9">
      <t>ネン</t>
    </rPh>
    <rPh sb="10" eb="11">
      <t>ガツ</t>
    </rPh>
    <rPh sb="11" eb="12">
      <t>チュウ</t>
    </rPh>
    <rPh sb="13" eb="15">
      <t>ヒヅケ</t>
    </rPh>
    <rPh sb="15" eb="17">
      <t>ハッコウ</t>
    </rPh>
    <rPh sb="17" eb="20">
      <t>ネンガッピ</t>
    </rPh>
    <rPh sb="24" eb="26">
      <t>ジカイ</t>
    </rPh>
    <rPh sb="26" eb="28">
      <t>コウシン</t>
    </rPh>
    <rPh sb="28" eb="31">
      <t>ネンガッピ</t>
    </rPh>
    <rPh sb="36" eb="37">
      <t>ネン</t>
    </rPh>
    <rPh sb="38" eb="39">
      <t>ガツ</t>
    </rPh>
    <rPh sb="41" eb="42">
      <t>ニチ</t>
    </rPh>
    <rPh sb="46" eb="48">
      <t>カイケツ</t>
    </rPh>
    <rPh sb="48" eb="49">
      <t>スミ</t>
    </rPh>
    <phoneticPr fontId="1"/>
  </si>
  <si>
    <t>2024年7月23日（火）</t>
    <rPh sb="4" eb="5">
      <t>ネン</t>
    </rPh>
    <rPh sb="6" eb="7">
      <t>ガツ</t>
    </rPh>
    <rPh sb="9" eb="10">
      <t>ニチ</t>
    </rPh>
    <rPh sb="11" eb="12">
      <t>カ</t>
    </rPh>
    <phoneticPr fontId="1"/>
  </si>
  <si>
    <t>問題となった、データ空欄によるエラーセンテンス</t>
    <rPh sb="0" eb="2">
      <t>モンダイ</t>
    </rPh>
    <rPh sb="10" eb="12">
      <t>クウラン</t>
    </rPh>
    <phoneticPr fontId="1"/>
  </si>
  <si>
    <t>対策実施：PC初期化時の年月日情報のTOSHI,GETU,BIを代入する事により空欄エラー回避（当日のPCの年月日がそのまま利用可能となった。）</t>
    <rPh sb="0" eb="2">
      <t>タイサク</t>
    </rPh>
    <rPh sb="2" eb="4">
      <t>ジッシ</t>
    </rPh>
    <rPh sb="7" eb="10">
      <t>ショキカ</t>
    </rPh>
    <rPh sb="10" eb="11">
      <t>ジ</t>
    </rPh>
    <rPh sb="12" eb="14">
      <t>ネンゲツ</t>
    </rPh>
    <rPh sb="14" eb="15">
      <t>ヒ</t>
    </rPh>
    <rPh sb="15" eb="17">
      <t>ジョウホウ</t>
    </rPh>
    <rPh sb="32" eb="34">
      <t>ダイニュウ</t>
    </rPh>
    <rPh sb="36" eb="37">
      <t>コト</t>
    </rPh>
    <rPh sb="40" eb="42">
      <t>クウラン</t>
    </rPh>
    <rPh sb="45" eb="47">
      <t>カイヒ</t>
    </rPh>
    <rPh sb="48" eb="50">
      <t>トウジツ</t>
    </rPh>
    <rPh sb="54" eb="56">
      <t>ネンゲツ</t>
    </rPh>
    <rPh sb="56" eb="57">
      <t>ヒ</t>
    </rPh>
    <rPh sb="62" eb="64">
      <t>リヨウ</t>
    </rPh>
    <rPh sb="64" eb="66">
      <t>カノウ</t>
    </rPh>
    <phoneticPr fontId="1"/>
  </si>
  <si>
    <r>
      <t xml:space="preserve">　　　　　NENN = </t>
    </r>
    <r>
      <rPr>
        <b/>
        <sz val="11"/>
        <color theme="1"/>
        <rFont val="游ゴシック"/>
        <family val="3"/>
        <charset val="128"/>
        <scheme val="minor"/>
      </rPr>
      <t>TOSHI</t>
    </r>
    <phoneticPr fontId="1"/>
  </si>
  <si>
    <t xml:space="preserve"> 　　　　　site = NENN &amp; "年" &amp; tugim &amp; HI &amp; "日"</t>
    <phoneticPr fontId="1"/>
  </si>
  <si>
    <r>
      <t>　　　　　tugim =</t>
    </r>
    <r>
      <rPr>
        <b/>
        <sz val="11"/>
        <color theme="1"/>
        <rFont val="游ゴシック"/>
        <family val="3"/>
        <charset val="128"/>
        <scheme val="minor"/>
      </rPr>
      <t xml:space="preserve"> GETU</t>
    </r>
    <phoneticPr fontId="1"/>
  </si>
  <si>
    <r>
      <t xml:space="preserve">　　　　　HI = </t>
    </r>
    <r>
      <rPr>
        <b/>
        <sz val="11"/>
        <color theme="1"/>
        <rFont val="游ゴシック"/>
        <family val="3"/>
        <charset val="128"/>
        <scheme val="minor"/>
      </rPr>
      <t>BI</t>
    </r>
    <phoneticPr fontId="1"/>
  </si>
  <si>
    <t>①カレンダーの当日のボタン処理の処理にて、年変数情報、月変数情報、日変数情報に初期値の年、月、日情報が入らない為のエラー発生</t>
    <rPh sb="7" eb="9">
      <t>トウジツ</t>
    </rPh>
    <rPh sb="13" eb="15">
      <t>ショリ</t>
    </rPh>
    <rPh sb="16" eb="18">
      <t>ショリ</t>
    </rPh>
    <rPh sb="21" eb="22">
      <t>ネン</t>
    </rPh>
    <rPh sb="22" eb="24">
      <t>ヘンスウ</t>
    </rPh>
    <rPh sb="24" eb="26">
      <t>ジョウホウ</t>
    </rPh>
    <rPh sb="27" eb="28">
      <t>ツキ</t>
    </rPh>
    <rPh sb="28" eb="30">
      <t>ヘンスウ</t>
    </rPh>
    <rPh sb="30" eb="32">
      <t>ジョウホウ</t>
    </rPh>
    <rPh sb="33" eb="34">
      <t>ヒ</t>
    </rPh>
    <rPh sb="34" eb="36">
      <t>ヘンスウ</t>
    </rPh>
    <rPh sb="36" eb="38">
      <t>ジョウホウ</t>
    </rPh>
    <rPh sb="39" eb="42">
      <t>ショキチ</t>
    </rPh>
    <rPh sb="43" eb="44">
      <t>トシ</t>
    </rPh>
    <rPh sb="45" eb="46">
      <t>ツキ</t>
    </rPh>
    <rPh sb="47" eb="48">
      <t>ヒ</t>
    </rPh>
    <rPh sb="48" eb="50">
      <t>ジョウホウ</t>
    </rPh>
    <rPh sb="51" eb="52">
      <t>ハイ</t>
    </rPh>
    <rPh sb="55" eb="56">
      <t>タメ</t>
    </rPh>
    <rPh sb="60" eb="62">
      <t>ハッセイ</t>
    </rPh>
    <phoneticPr fontId="1"/>
  </si>
  <si>
    <t>②追随するエラーとして、うるう年の確認時に6ヶ月後の計算実施する為の変数番号の誤記によるエラーも発生。</t>
    <rPh sb="1" eb="3">
      <t>ツイズイ</t>
    </rPh>
    <rPh sb="15" eb="16">
      <t>ドシ</t>
    </rPh>
    <rPh sb="17" eb="19">
      <t>カクニン</t>
    </rPh>
    <rPh sb="19" eb="20">
      <t>ジ</t>
    </rPh>
    <rPh sb="23" eb="24">
      <t>ゲツ</t>
    </rPh>
    <rPh sb="24" eb="25">
      <t>ゴ</t>
    </rPh>
    <rPh sb="26" eb="28">
      <t>ケイサン</t>
    </rPh>
    <rPh sb="28" eb="30">
      <t>ジッシ</t>
    </rPh>
    <rPh sb="32" eb="33">
      <t>タメ</t>
    </rPh>
    <rPh sb="34" eb="36">
      <t>ヘンスウ</t>
    </rPh>
    <rPh sb="36" eb="38">
      <t>バンゴウ</t>
    </rPh>
    <rPh sb="39" eb="41">
      <t>ゴキ</t>
    </rPh>
    <rPh sb="48" eb="50">
      <t>ハッセイ</t>
    </rPh>
    <phoneticPr fontId="1"/>
  </si>
  <si>
    <t>①対策：変数の取り違えによる年、月、日データ無しによるエラーの為、PCカレンダーよりの取り込み年変数、月変数、日変数代入にて対策実施し</t>
    <rPh sb="1" eb="3">
      <t>タイサク</t>
    </rPh>
    <rPh sb="4" eb="6">
      <t>ヘンスウ</t>
    </rPh>
    <rPh sb="7" eb="8">
      <t>ト</t>
    </rPh>
    <rPh sb="9" eb="10">
      <t>チガ</t>
    </rPh>
    <rPh sb="14" eb="15">
      <t>ネン</t>
    </rPh>
    <rPh sb="16" eb="17">
      <t>ゲツ</t>
    </rPh>
    <rPh sb="18" eb="19">
      <t>ヒ</t>
    </rPh>
    <rPh sb="22" eb="23">
      <t>ナ</t>
    </rPh>
    <rPh sb="31" eb="32">
      <t>タメ</t>
    </rPh>
    <rPh sb="43" eb="44">
      <t>ト</t>
    </rPh>
    <rPh sb="45" eb="46">
      <t>コ</t>
    </rPh>
    <rPh sb="47" eb="48">
      <t>ネン</t>
    </rPh>
    <rPh sb="48" eb="50">
      <t>ヘンスウ</t>
    </rPh>
    <rPh sb="51" eb="52">
      <t>ツキ</t>
    </rPh>
    <rPh sb="52" eb="54">
      <t>ヘンスウ</t>
    </rPh>
    <rPh sb="55" eb="56">
      <t>ヒ</t>
    </rPh>
    <rPh sb="56" eb="58">
      <t>ヘンスウ</t>
    </rPh>
    <rPh sb="58" eb="60">
      <t>ダイニュウ</t>
    </rPh>
    <rPh sb="62" eb="64">
      <t>タイサク</t>
    </rPh>
    <rPh sb="64" eb="66">
      <t>ジッシ</t>
    </rPh>
    <phoneticPr fontId="1"/>
  </si>
  <si>
    <t>②対策：単純に変数の番号誤記の為、変数番号を同期修正にて対策済</t>
    <rPh sb="1" eb="3">
      <t>タイサク</t>
    </rPh>
    <rPh sb="4" eb="6">
      <t>タンジュン</t>
    </rPh>
    <rPh sb="7" eb="9">
      <t>ヘンスウ</t>
    </rPh>
    <rPh sb="10" eb="12">
      <t>バンゴウ</t>
    </rPh>
    <rPh sb="12" eb="14">
      <t>ゴキ</t>
    </rPh>
    <rPh sb="15" eb="16">
      <t>タメ</t>
    </rPh>
    <rPh sb="17" eb="19">
      <t>ヘンスウ</t>
    </rPh>
    <rPh sb="19" eb="21">
      <t>バンゴウ</t>
    </rPh>
    <rPh sb="22" eb="24">
      <t>ドウキ</t>
    </rPh>
    <rPh sb="24" eb="26">
      <t>シュウセイ</t>
    </rPh>
    <rPh sb="28" eb="30">
      <t>タイサク</t>
    </rPh>
    <rPh sb="30" eb="31">
      <t>ズミ</t>
    </rPh>
    <phoneticPr fontId="1"/>
  </si>
  <si>
    <t>Dim IntervalType3 As String　で変数のinterbalType3 で設定していたが、変数代入時には異なる変数のintervalType1 で使用した為のエラー</t>
    <rPh sb="29" eb="31">
      <t>ヘンスウ</t>
    </rPh>
    <rPh sb="47" eb="49">
      <t>セッテイ</t>
    </rPh>
    <rPh sb="55" eb="57">
      <t>ヘンスウ</t>
    </rPh>
    <rPh sb="57" eb="59">
      <t>ダイニュウ</t>
    </rPh>
    <rPh sb="59" eb="60">
      <t>ジ</t>
    </rPh>
    <rPh sb="62" eb="63">
      <t>コト</t>
    </rPh>
    <rPh sb="65" eb="67">
      <t>ヘンスウ</t>
    </rPh>
    <rPh sb="83" eb="85">
      <t>シヨウ</t>
    </rPh>
    <rPh sb="87" eb="88">
      <t>タメ</t>
    </rPh>
    <phoneticPr fontId="1"/>
  </si>
  <si>
    <r>
      <t xml:space="preserve">修正後：    </t>
    </r>
    <r>
      <rPr>
        <b/>
        <sz val="11"/>
        <color rgb="FF0000CC"/>
        <rFont val="游ゴシック"/>
        <family val="3"/>
        <charset val="128"/>
        <scheme val="minor"/>
      </rPr>
      <t xml:space="preserve"> IntervalType3 </t>
    </r>
    <r>
      <rPr>
        <sz val="11"/>
        <color theme="1"/>
        <rFont val="游ゴシック"/>
        <family val="2"/>
        <charset val="128"/>
        <scheme val="minor"/>
      </rPr>
      <t>= "m"   '2024年7月23日変数番号変数設定と同じに修正実施</t>
    </r>
    <rPh sb="0" eb="2">
      <t>シュウセイ</t>
    </rPh>
    <rPh sb="2" eb="3">
      <t>ゴ</t>
    </rPh>
    <phoneticPr fontId="1"/>
  </si>
  <si>
    <r>
      <t>修正前：　</t>
    </r>
    <r>
      <rPr>
        <b/>
        <sz val="11"/>
        <color rgb="FFFF0000"/>
        <rFont val="游ゴシック"/>
        <family val="3"/>
        <charset val="128"/>
        <scheme val="minor"/>
      </rPr>
      <t xml:space="preserve"> IntervalType1</t>
    </r>
    <r>
      <rPr>
        <sz val="11"/>
        <color theme="1"/>
        <rFont val="游ゴシック"/>
        <family val="2"/>
        <charset val="128"/>
        <scheme val="minor"/>
      </rPr>
      <t xml:space="preserve"> = "m"</t>
    </r>
    <rPh sb="0" eb="2">
      <t>シュウセイ</t>
    </rPh>
    <rPh sb="2" eb="3">
      <t>マエ</t>
    </rPh>
    <phoneticPr fontId="1"/>
  </si>
  <si>
    <t>変数番号書替えによりエラー修正なる。</t>
    <rPh sb="0" eb="4">
      <t>ヘンスウバンゴウ</t>
    </rPh>
    <rPh sb="4" eb="6">
      <t>カキカ</t>
    </rPh>
    <rPh sb="13" eb="15">
      <t>シュウセイ</t>
    </rPh>
    <phoneticPr fontId="1"/>
  </si>
  <si>
    <t>1pFから10pFの範囲指定と15pF～300pFの範囲指定を現行の作成可能チップのみ対象エリアを視覚的にわかる様に識別（白：作成可能、グレー：作成不可）</t>
    <rPh sb="10" eb="12">
      <t>ハンイ</t>
    </rPh>
    <rPh sb="12" eb="14">
      <t>シテイ</t>
    </rPh>
    <rPh sb="26" eb="30">
      <t>ハンイシテイ</t>
    </rPh>
    <rPh sb="31" eb="33">
      <t>ゲンコウ</t>
    </rPh>
    <rPh sb="34" eb="36">
      <t>サクセイ</t>
    </rPh>
    <rPh sb="36" eb="38">
      <t>カノウ</t>
    </rPh>
    <rPh sb="43" eb="45">
      <t>タイショウ</t>
    </rPh>
    <rPh sb="49" eb="51">
      <t>シカク</t>
    </rPh>
    <rPh sb="51" eb="52">
      <t>テキ</t>
    </rPh>
    <rPh sb="56" eb="57">
      <t>ヨウ</t>
    </rPh>
    <rPh sb="58" eb="60">
      <t>シキベツ</t>
    </rPh>
    <rPh sb="61" eb="62">
      <t>シロ</t>
    </rPh>
    <rPh sb="63" eb="65">
      <t>サクセイ</t>
    </rPh>
    <rPh sb="65" eb="67">
      <t>カノウ</t>
    </rPh>
    <rPh sb="72" eb="74">
      <t>サクセイ</t>
    </rPh>
    <rPh sb="74" eb="76">
      <t>フカ</t>
    </rPh>
    <phoneticPr fontId="1"/>
  </si>
  <si>
    <t>選択したときに識別されるようにしました。</t>
    <rPh sb="0" eb="2">
      <t>センタク</t>
    </rPh>
    <rPh sb="7" eb="9">
      <t>シキベツ</t>
    </rPh>
    <phoneticPr fontId="1"/>
  </si>
  <si>
    <t>2024年7月24日（水）</t>
    <rPh sb="4" eb="5">
      <t>ネン</t>
    </rPh>
    <rPh sb="6" eb="7">
      <t>ガツ</t>
    </rPh>
    <rPh sb="9" eb="10">
      <t>カ</t>
    </rPh>
    <rPh sb="11" eb="12">
      <t>スイ</t>
    </rPh>
    <phoneticPr fontId="1"/>
  </si>
  <si>
    <t>容量範囲選択時の数量入力可能セルと不可セルを表示通り白色セルのみ入力フォーム表示し、他のグレー色はMSG（数量入力不可メッセージ）を出す仕様</t>
    <rPh sb="0" eb="2">
      <t>ヨウリョウ</t>
    </rPh>
    <rPh sb="2" eb="4">
      <t>ハンイ</t>
    </rPh>
    <rPh sb="4" eb="6">
      <t>センタク</t>
    </rPh>
    <rPh sb="6" eb="7">
      <t>ジ</t>
    </rPh>
    <rPh sb="8" eb="10">
      <t>スウリョウ</t>
    </rPh>
    <rPh sb="10" eb="12">
      <t>ニュウリョク</t>
    </rPh>
    <rPh sb="12" eb="14">
      <t>カノウ</t>
    </rPh>
    <rPh sb="17" eb="19">
      <t>フカ</t>
    </rPh>
    <rPh sb="22" eb="24">
      <t>ヒョウジ</t>
    </rPh>
    <rPh sb="24" eb="25">
      <t>ドオ</t>
    </rPh>
    <rPh sb="26" eb="28">
      <t>ハクショク</t>
    </rPh>
    <rPh sb="32" eb="34">
      <t>ニュウリョク</t>
    </rPh>
    <rPh sb="38" eb="40">
      <t>ヒョウジ</t>
    </rPh>
    <rPh sb="42" eb="43">
      <t>ホカ</t>
    </rPh>
    <rPh sb="47" eb="48">
      <t>ショク</t>
    </rPh>
    <rPh sb="53" eb="55">
      <t>スウリョウ</t>
    </rPh>
    <rPh sb="55" eb="57">
      <t>ニュウリョク</t>
    </rPh>
    <rPh sb="57" eb="59">
      <t>フカ</t>
    </rPh>
    <rPh sb="66" eb="67">
      <t>ダ</t>
    </rPh>
    <rPh sb="68" eb="70">
      <t>シヨウ</t>
    </rPh>
    <phoneticPr fontId="1"/>
  </si>
  <si>
    <t>に変更➡選択時の判断セル値（＄AF＄7）セルの値にて数量フォーム表示とメッセージ表示を振り分ける仕様で処理ルーチン追加</t>
    <rPh sb="1" eb="3">
      <t>ヘンコウ</t>
    </rPh>
    <rPh sb="4" eb="7">
      <t>センタクジ</t>
    </rPh>
    <rPh sb="8" eb="10">
      <t>ハンダン</t>
    </rPh>
    <rPh sb="12" eb="13">
      <t>チ</t>
    </rPh>
    <rPh sb="23" eb="24">
      <t>アタイ</t>
    </rPh>
    <rPh sb="26" eb="28">
      <t>スウリョウ</t>
    </rPh>
    <rPh sb="32" eb="34">
      <t>ヒョウジ</t>
    </rPh>
    <rPh sb="40" eb="42">
      <t>ヒョウジ</t>
    </rPh>
    <rPh sb="43" eb="44">
      <t>フ</t>
    </rPh>
    <rPh sb="45" eb="46">
      <t>ワ</t>
    </rPh>
    <rPh sb="48" eb="50">
      <t>シヨウ</t>
    </rPh>
    <rPh sb="51" eb="53">
      <t>ショリ</t>
    </rPh>
    <rPh sb="57" eb="59">
      <t>ツイカ</t>
    </rPh>
    <phoneticPr fontId="1"/>
  </si>
  <si>
    <t>15pF～300pF選択時　➡  AIDA = "3"</t>
    <rPh sb="10" eb="13">
      <t>センタクジ</t>
    </rPh>
    <phoneticPr fontId="1"/>
  </si>
  <si>
    <t>1㎊～10pF 選択時　    ➡  AIDA = ”2"</t>
    <rPh sb="8" eb="11">
      <t>センタクジ</t>
    </rPh>
    <phoneticPr fontId="1"/>
  </si>
  <si>
    <t>変数は　AIDAの文字変数としてシート上のレンジ（＄AF$7）容量範囲選択時の値を取り込みし、AIDA変数値</t>
    <rPh sb="0" eb="2">
      <t>ヘンスウ</t>
    </rPh>
    <rPh sb="9" eb="13">
      <t>モジヘンスウ</t>
    </rPh>
    <rPh sb="19" eb="20">
      <t>ジョウ</t>
    </rPh>
    <rPh sb="31" eb="33">
      <t>ヨウリョウ</t>
    </rPh>
    <rPh sb="33" eb="35">
      <t>ハンイ</t>
    </rPh>
    <rPh sb="35" eb="37">
      <t>センタク</t>
    </rPh>
    <rPh sb="37" eb="38">
      <t>ジ</t>
    </rPh>
    <rPh sb="39" eb="40">
      <t>アタイ</t>
    </rPh>
    <rPh sb="41" eb="42">
      <t>ト</t>
    </rPh>
    <rPh sb="43" eb="44">
      <t>コ</t>
    </rPh>
    <rPh sb="51" eb="53">
      <t>ヘンスウ</t>
    </rPh>
    <rPh sb="53" eb="54">
      <t>チ</t>
    </rPh>
    <phoneticPr fontId="1"/>
  </si>
  <si>
    <t>2024年8月21日(水)</t>
    <rPh sb="4" eb="5">
      <t>ネン</t>
    </rPh>
    <rPh sb="6" eb="7">
      <t>ガツ</t>
    </rPh>
    <rPh sb="9" eb="10">
      <t>ニチ</t>
    </rPh>
    <rPh sb="11" eb="12">
      <t>スイ</t>
    </rPh>
    <phoneticPr fontId="1"/>
  </si>
  <si>
    <t>ツールボックス表示させ、ツールボックスフォーム上で右クリックし（その他のコントロールを選択する）</t>
    <rPh sb="7" eb="9">
      <t>ヒョウジ</t>
    </rPh>
    <rPh sb="23" eb="24">
      <t>ジョウ</t>
    </rPh>
    <rPh sb="25" eb="26">
      <t>ミギ</t>
    </rPh>
    <rPh sb="34" eb="35">
      <t>タ</t>
    </rPh>
    <rPh sb="43" eb="45">
      <t>センタク</t>
    </rPh>
    <phoneticPr fontId="1"/>
  </si>
  <si>
    <t>（利用可能なコントロール）</t>
    <phoneticPr fontId="1"/>
  </si>
  <si>
    <t>又は、メニューから　ツール（T)クリックし　参照設定を選択クリックしても同じコントロールの追加フォーム表示</t>
    <rPh sb="0" eb="1">
      <t>マタ</t>
    </rPh>
    <rPh sb="22" eb="24">
      <t>サンショウ</t>
    </rPh>
    <rPh sb="24" eb="26">
      <t>セッテイ</t>
    </rPh>
    <rPh sb="27" eb="29">
      <t>センタク</t>
    </rPh>
    <rPh sb="36" eb="37">
      <t>オナ</t>
    </rPh>
    <rPh sb="45" eb="47">
      <t>ツイカ</t>
    </rPh>
    <rPh sb="51" eb="53">
      <t>ヒョウジ</t>
    </rPh>
    <phoneticPr fontId="1"/>
  </si>
  <si>
    <t>確認及び対応：下記のチェックの入ったコントロールがあるか確認し、チェックが無ければチェックを入れる。</t>
    <rPh sb="0" eb="2">
      <t>カクニン</t>
    </rPh>
    <rPh sb="2" eb="3">
      <t>オヨ</t>
    </rPh>
    <rPh sb="4" eb="6">
      <t>タイオウ</t>
    </rPh>
    <rPh sb="7" eb="9">
      <t>カキ</t>
    </rPh>
    <rPh sb="15" eb="16">
      <t>ハイ</t>
    </rPh>
    <rPh sb="28" eb="30">
      <t>カクニン</t>
    </rPh>
    <rPh sb="37" eb="38">
      <t>ナ</t>
    </rPh>
    <rPh sb="46" eb="47">
      <t>イ</t>
    </rPh>
    <phoneticPr fontId="1"/>
  </si>
  <si>
    <t>実際にVBA上で使ってなくてもチェックは入れておく</t>
    <rPh sb="0" eb="2">
      <t>ジッサイ</t>
    </rPh>
    <rPh sb="6" eb="7">
      <t>ジョウ</t>
    </rPh>
    <rPh sb="8" eb="9">
      <t>ツカ</t>
    </rPh>
    <rPh sb="20" eb="21">
      <t>イ</t>
    </rPh>
    <phoneticPr fontId="1"/>
  </si>
  <si>
    <t>2024年8月20日（火）</t>
    <rPh sb="4" eb="5">
      <t>ネン</t>
    </rPh>
    <rPh sb="6" eb="7">
      <t>ガツ</t>
    </rPh>
    <rPh sb="9" eb="10">
      <t>カ</t>
    </rPh>
    <rPh sb="11" eb="12">
      <t>カ</t>
    </rPh>
    <phoneticPr fontId="1"/>
  </si>
  <si>
    <t>カレンダーの本日コマンドの年月情報エラー修正実施
'変数の対応がうまく出来てない為、変数対応処理を8月の月処理に追加
'
'NENN = TOSHI
'HI = BI
'tugim = GETU</t>
    <phoneticPr fontId="1"/>
  </si>
  <si>
    <t>2024年8月21日（水）</t>
    <rPh sb="4" eb="5">
      <t>ネン</t>
    </rPh>
    <rPh sb="6" eb="7">
      <t>ガツ</t>
    </rPh>
    <rPh sb="9" eb="10">
      <t>ニチ</t>
    </rPh>
    <rPh sb="11" eb="12">
      <t>スイ</t>
    </rPh>
    <phoneticPr fontId="1"/>
  </si>
  <si>
    <t>カレンダーの更新作成選択、1p-10pF(2月/8月）選択時の8月21日本日ボタン時に更新月の表示が出ない問題</t>
  </si>
  <si>
    <t>'1月、2月はkonkaim = "2月",JIKAIM="8月”が基本設定。また、7月、8月はkonkaim ="8月" JIKAIM="2月"が基本だが</t>
  </si>
  <si>
    <t>'8月の月ルーチンでkonkaim="8月”が抜けていたため追加にて対応OKとなる。</t>
  </si>
  <si>
    <t>'</t>
  </si>
  <si>
    <t>'①2024年8月21日カレンダーの更新作成選択、1p-10pF(2月/8月）選択時の8月21日本日ボタン時に更新月の表示が出ない問題</t>
  </si>
  <si>
    <t>'②2024年8月22日追加処理に置ける西暦処理年越え処理無しの為、次回検査年月日がNG</t>
  </si>
  <si>
    <t>'対策として年越えの比較ルーチン追加（PC年とカレンダー選択年の比較処理追加）</t>
  </si>
  <si>
    <t>'③追加申請のルーチンの月表示の修正</t>
  </si>
  <si>
    <t>'2月/8月定期更新時の追加の処理時</t>
  </si>
  <si>
    <t>'次回校正月の月が10月より前が1桁表示を"0"ヘッダー追加で2桁に修正する処理</t>
  </si>
  <si>
    <t>'8月の次回校正月のみ　2月校正月分の処理は全て"02月"の月データは2桁で問題無し</t>
  </si>
  <si>
    <t>'修正必要月の追加処理月は　3月、4月、5月、6月、7月の５つ</t>
  </si>
  <si>
    <t>'2024年8月22日ー＞2024年08月22日　となる処理　’"8月"ー＞"08月"</t>
  </si>
  <si>
    <t>'カレンダーのクリック日付の1から9までは2桁処理あり問題無し確認済</t>
  </si>
  <si>
    <t>'④追加申請のルーチンの月表示のコーディング（未コーディングの為）</t>
  </si>
  <si>
    <t>'6月/12月定期更新時の追加の処理時</t>
  </si>
  <si>
    <t>2024年8月22日（木）</t>
    <rPh sb="4" eb="5">
      <t>ネン</t>
    </rPh>
    <rPh sb="6" eb="7">
      <t>ガツ</t>
    </rPh>
    <rPh sb="9" eb="10">
      <t>ニチ</t>
    </rPh>
    <rPh sb="11" eb="12">
      <t>モク</t>
    </rPh>
    <phoneticPr fontId="1"/>
  </si>
  <si>
    <t>ほか全月、コーディング追加</t>
    <rPh sb="2" eb="4">
      <t>ゼンツキ</t>
    </rPh>
    <rPh sb="11" eb="13">
      <t>ツイカ</t>
    </rPh>
    <phoneticPr fontId="1"/>
  </si>
  <si>
    <t>④継続：次回校正の月が7月の場合のコーディング</t>
    <rPh sb="1" eb="3">
      <t>ケイゾク</t>
    </rPh>
    <phoneticPr fontId="1"/>
  </si>
  <si>
    <t>本荘工場素地検査</t>
    <rPh sb="0" eb="2">
      <t>ホンジョウ</t>
    </rPh>
    <rPh sb="2" eb="4">
      <t>コウジョウ</t>
    </rPh>
    <rPh sb="4" eb="8">
      <t>ソジケンサ</t>
    </rPh>
    <phoneticPr fontId="1"/>
  </si>
  <si>
    <t>本荘工場測定工程</t>
    <rPh sb="0" eb="2">
      <t>ホンジョウ</t>
    </rPh>
    <rPh sb="2" eb="4">
      <t>コウジョウ</t>
    </rPh>
    <rPh sb="4" eb="6">
      <t>ソクテイ</t>
    </rPh>
    <rPh sb="6" eb="8">
      <t>コウテイ</t>
    </rPh>
    <phoneticPr fontId="1"/>
  </si>
  <si>
    <t>本荘工場製品検査</t>
    <rPh sb="0" eb="2">
      <t>ホンジョウ</t>
    </rPh>
    <rPh sb="2" eb="4">
      <t>コウジョウ</t>
    </rPh>
    <rPh sb="4" eb="8">
      <t>セイヒンケンサ</t>
    </rPh>
    <phoneticPr fontId="1"/>
  </si>
  <si>
    <t/>
  </si>
  <si>
    <t>受付者実施</t>
    <rPh sb="0" eb="2">
      <t>ウケツケ</t>
    </rPh>
    <rPh sb="2" eb="3">
      <t>シャ</t>
    </rPh>
    <rPh sb="3" eb="5">
      <t>ジッシ</t>
    </rPh>
    <phoneticPr fontId="1"/>
  </si>
  <si>
    <t>確認者実施</t>
    <rPh sb="0" eb="2">
      <t>カクニン</t>
    </rPh>
    <rPh sb="2" eb="3">
      <t>シャ</t>
    </rPh>
    <rPh sb="3" eb="5">
      <t>ジッシ</t>
    </rPh>
    <phoneticPr fontId="1"/>
  </si>
  <si>
    <t>作成期間</t>
    <rPh sb="0" eb="4">
      <t>サクセイキカン</t>
    </rPh>
    <phoneticPr fontId="1"/>
  </si>
  <si>
    <t>作成者実施</t>
    <rPh sb="0" eb="3">
      <t>サクセイシャ</t>
    </rPh>
    <rPh sb="3" eb="5">
      <t>ジッシ</t>
    </rPh>
    <phoneticPr fontId="1"/>
  </si>
  <si>
    <t>未選択</t>
    <rPh sb="0" eb="3">
      <t>ミセンタク</t>
    </rPh>
    <phoneticPr fontId="1"/>
  </si>
  <si>
    <t>更新有効期限（2月29日）が近いので、更新分の作成依頼申請になります。</t>
    <rPh sb="0" eb="2">
      <t>コウシン</t>
    </rPh>
    <rPh sb="2" eb="4">
      <t>ユウコウ</t>
    </rPh>
    <rPh sb="4" eb="6">
      <t>キゲン</t>
    </rPh>
    <rPh sb="8" eb="9">
      <t>ガツ</t>
    </rPh>
    <rPh sb="11" eb="12">
      <t>ニチ</t>
    </rPh>
    <rPh sb="14" eb="15">
      <t>チカ</t>
    </rPh>
    <rPh sb="19" eb="21">
      <t>コウシン</t>
    </rPh>
    <rPh sb="21" eb="22">
      <t>ブン</t>
    </rPh>
    <rPh sb="23" eb="25">
      <t>サクセイ</t>
    </rPh>
    <rPh sb="25" eb="27">
      <t>イライ</t>
    </rPh>
    <rPh sb="27" eb="29">
      <t>シンセイ</t>
    </rPh>
    <phoneticPr fontId="1"/>
  </si>
  <si>
    <t>テキストサイン時</t>
    <rPh sb="7" eb="8">
      <t>ジ</t>
    </rPh>
    <phoneticPr fontId="1"/>
  </si>
  <si>
    <t>使用する押印シェープ</t>
    <rPh sb="0" eb="2">
      <t>シヨウ</t>
    </rPh>
    <rPh sb="4" eb="6">
      <t>オウイン</t>
    </rPh>
    <phoneticPr fontId="1"/>
  </si>
  <si>
    <t>ダブルクリック　  　数量入力</t>
    <phoneticPr fontId="1"/>
  </si>
  <si>
    <r>
      <t>選択範囲中の容量セル➡</t>
    </r>
    <r>
      <rPr>
        <b/>
        <sz val="10.5"/>
        <color rgb="FF0000CC"/>
        <rFont val="游ゴシック"/>
        <family val="3"/>
        <charset val="128"/>
        <scheme val="minor"/>
      </rPr>
      <t>青色</t>
    </r>
    <rPh sb="0" eb="2">
      <t>センタク</t>
    </rPh>
    <rPh sb="2" eb="4">
      <t>ハンイ</t>
    </rPh>
    <rPh sb="4" eb="5">
      <t>チュウ</t>
    </rPh>
    <rPh sb="6" eb="8">
      <t>ヨウリョウ</t>
    </rPh>
    <rPh sb="11" eb="13">
      <t>アオイロ</t>
    </rPh>
    <phoneticPr fontId="1"/>
  </si>
  <si>
    <t>次回有効期限</t>
    <rPh sb="0" eb="2">
      <t>ジカイ</t>
    </rPh>
    <rPh sb="2" eb="6">
      <t>ユウコウキゲン</t>
    </rPh>
    <phoneticPr fontId="1"/>
  </si>
  <si>
    <t>発行</t>
    <rPh sb="0" eb="2">
      <t>ハッコウ</t>
    </rPh>
    <phoneticPr fontId="1"/>
  </si>
  <si>
    <t>部門</t>
    <rPh sb="0" eb="2">
      <t>ブモン</t>
    </rPh>
    <phoneticPr fontId="1"/>
  </si>
  <si>
    <t>次回更新月</t>
    <rPh sb="0" eb="2">
      <t>ジカイ</t>
    </rPh>
    <rPh sb="2" eb="4">
      <t>コウシン</t>
    </rPh>
    <rPh sb="4" eb="5">
      <t>ツキ</t>
    </rPh>
    <phoneticPr fontId="1"/>
  </si>
  <si>
    <t>SubStd作成依頼申請書の最終確認実施</t>
    <rPh sb="6" eb="8">
      <t>サクセイ</t>
    </rPh>
    <rPh sb="8" eb="10">
      <t>イライ</t>
    </rPh>
    <rPh sb="10" eb="13">
      <t>シンセイショ</t>
    </rPh>
    <rPh sb="14" eb="16">
      <t>サイシュウ</t>
    </rPh>
    <rPh sb="16" eb="18">
      <t>カクニン</t>
    </rPh>
    <rPh sb="18" eb="20">
      <t>ジッシ</t>
    </rPh>
    <phoneticPr fontId="1"/>
  </si>
  <si>
    <t>2025年3月17日（月）</t>
    <rPh sb="4" eb="5">
      <t>ネン</t>
    </rPh>
    <rPh sb="6" eb="7">
      <t>ガツ</t>
    </rPh>
    <rPh sb="9" eb="10">
      <t>ニチ</t>
    </rPh>
    <rPh sb="11" eb="12">
      <t>ゲツ</t>
    </rPh>
    <phoneticPr fontId="1"/>
  </si>
  <si>
    <t>１pF</t>
    <phoneticPr fontId="1"/>
  </si>
  <si>
    <t>２pF</t>
  </si>
  <si>
    <t>5pF</t>
    <phoneticPr fontId="1"/>
  </si>
  <si>
    <t>10pF</t>
    <phoneticPr fontId="1"/>
  </si>
  <si>
    <t>部門毎チップ数　　　　　　　ラベル数量リンク</t>
    <rPh sb="0" eb="3">
      <t>ブモンゴト</t>
    </rPh>
    <rPh sb="6" eb="7">
      <t>スウ</t>
    </rPh>
    <rPh sb="17" eb="19">
      <t>スウリョウ</t>
    </rPh>
    <phoneticPr fontId="1"/>
  </si>
  <si>
    <t>依頼部門名</t>
    <rPh sb="0" eb="4">
      <t>イライブモン</t>
    </rPh>
    <rPh sb="4" eb="5">
      <t>メイ</t>
    </rPh>
    <phoneticPr fontId="1"/>
  </si>
  <si>
    <t>過去　   更新月</t>
    <phoneticPr fontId="1"/>
  </si>
  <si>
    <t>個数貼付け範囲</t>
    <rPh sb="0" eb="2">
      <t>コスウ</t>
    </rPh>
    <rPh sb="2" eb="4">
      <t>ハリツ</t>
    </rPh>
    <rPh sb="5" eb="7">
      <t>ハンイ</t>
    </rPh>
    <phoneticPr fontId="1"/>
  </si>
  <si>
    <t>個数貼付け範囲</t>
    <rPh sb="0" eb="4">
      <t>コスウハリツ</t>
    </rPh>
    <rPh sb="5" eb="7">
      <t>ハンイ</t>
    </rPh>
    <phoneticPr fontId="1"/>
  </si>
  <si>
    <t>15pF</t>
    <phoneticPr fontId="1"/>
  </si>
  <si>
    <t>50pF</t>
    <phoneticPr fontId="1"/>
  </si>
  <si>
    <t>100pF</t>
    <phoneticPr fontId="1"/>
  </si>
  <si>
    <t>150pF</t>
    <phoneticPr fontId="1"/>
  </si>
  <si>
    <t>200pF</t>
    <phoneticPr fontId="1"/>
  </si>
  <si>
    <t>250pF</t>
    <phoneticPr fontId="1"/>
  </si>
  <si>
    <t>300pF</t>
    <phoneticPr fontId="1"/>
  </si>
  <si>
    <t>1000pF</t>
    <phoneticPr fontId="1"/>
  </si>
  <si>
    <t>部門毎チップ数ラベル数量リンク</t>
    <phoneticPr fontId="1"/>
  </si>
  <si>
    <t>50pF</t>
    <phoneticPr fontId="1"/>
  </si>
  <si>
    <t>200pF</t>
    <phoneticPr fontId="1"/>
  </si>
  <si>
    <t>250pF</t>
    <phoneticPr fontId="1"/>
  </si>
  <si>
    <t>300pF</t>
    <phoneticPr fontId="1"/>
  </si>
  <si>
    <t>1000pF</t>
    <phoneticPr fontId="1"/>
  </si>
  <si>
    <t>02月・08月有効期限分</t>
    <rPh sb="2" eb="3">
      <t>ガツ</t>
    </rPh>
    <rPh sb="6" eb="7">
      <t>ガツ</t>
    </rPh>
    <rPh sb="7" eb="11">
      <t>ユウコウキゲン</t>
    </rPh>
    <rPh sb="11" eb="12">
      <t>ブン</t>
    </rPh>
    <phoneticPr fontId="1"/>
  </si>
  <si>
    <t>06月・12月有効期限分</t>
    <rPh sb="2" eb="3">
      <t>ガツ</t>
    </rPh>
    <rPh sb="6" eb="7">
      <t>ガツ</t>
    </rPh>
    <rPh sb="7" eb="11">
      <t>ユウコウキゲン</t>
    </rPh>
    <rPh sb="11" eb="12">
      <t>ブン</t>
    </rPh>
    <phoneticPr fontId="1"/>
  </si>
  <si>
    <t>未選択</t>
    <phoneticPr fontId="1"/>
  </si>
  <si>
    <t>1</t>
    <phoneticPr fontId="1"/>
  </si>
  <si>
    <t>保護解除中</t>
    <phoneticPr fontId="1"/>
  </si>
  <si>
    <t>未設定</t>
    <phoneticPr fontId="1"/>
  </si>
  <si>
    <t>2026年4月9日（木）</t>
    <rPh sb="10" eb="11">
      <t>モク</t>
    </rPh>
    <phoneticPr fontId="1"/>
  </si>
  <si>
    <t>各部門の作成依頼申請書上のチップサイズ毎数量をラベル作成のためのコピペ用シート作成</t>
    <rPh sb="0" eb="3">
      <t>カクブモン</t>
    </rPh>
    <rPh sb="4" eb="6">
      <t>サクセイ</t>
    </rPh>
    <rPh sb="6" eb="8">
      <t>イライ</t>
    </rPh>
    <rPh sb="8" eb="11">
      <t>シンセイショ</t>
    </rPh>
    <rPh sb="11" eb="12">
      <t>ジョウ</t>
    </rPh>
    <rPh sb="19" eb="20">
      <t>ゴト</t>
    </rPh>
    <rPh sb="20" eb="22">
      <t>スウリョウ</t>
    </rPh>
    <rPh sb="26" eb="28">
      <t>サクセイ</t>
    </rPh>
    <rPh sb="35" eb="36">
      <t>ヨウ</t>
    </rPh>
    <rPh sb="39" eb="41">
      <t>サクセイ</t>
    </rPh>
    <phoneticPr fontId="1"/>
  </si>
  <si>
    <t>ラベル数量印刷作成用のメインシートにコピペするだけで部門のラベル印刷用各シートから印刷ボタンを</t>
    <rPh sb="3" eb="5">
      <t>スウリョウ</t>
    </rPh>
    <rPh sb="5" eb="7">
      <t>インサツ</t>
    </rPh>
    <rPh sb="7" eb="9">
      <t>サクセイ</t>
    </rPh>
    <rPh sb="9" eb="10">
      <t>ヨウ</t>
    </rPh>
    <rPh sb="26" eb="28">
      <t>ブモン</t>
    </rPh>
    <rPh sb="32" eb="34">
      <t>インサツ</t>
    </rPh>
    <rPh sb="34" eb="35">
      <t>ヨウ</t>
    </rPh>
    <rPh sb="35" eb="36">
      <t>カク</t>
    </rPh>
    <rPh sb="41" eb="43">
      <t>インサツ</t>
    </rPh>
    <phoneticPr fontId="1"/>
  </si>
  <si>
    <t>押すだけで、1枚の部門チップサイズ毎の数量ラベルをプリントする。（プリンター設定等は不要）</t>
    <rPh sb="0" eb="1">
      <t>オ</t>
    </rPh>
    <rPh sb="7" eb="8">
      <t>マイ</t>
    </rPh>
    <rPh sb="9" eb="11">
      <t>ブモン</t>
    </rPh>
    <rPh sb="17" eb="18">
      <t>ゴト</t>
    </rPh>
    <rPh sb="19" eb="21">
      <t>スウリョウ</t>
    </rPh>
    <rPh sb="38" eb="41">
      <t>セッテイトウ</t>
    </rPh>
    <rPh sb="42" eb="44">
      <t>フヨウ</t>
    </rPh>
    <phoneticPr fontId="1"/>
  </si>
  <si>
    <t>1pF-10pF用：2月/8月　　</t>
    <phoneticPr fontId="1"/>
  </si>
  <si>
    <t>15pF-300pF：6月/12月</t>
    <rPh sb="12" eb="13">
      <t>ガツ</t>
    </rPh>
    <rPh sb="16" eb="17">
      <t>ガツ</t>
    </rPh>
    <phoneticPr fontId="1"/>
  </si>
  <si>
    <t>対象方法：すべて容量範囲で対象の容量サイズ数量領域をコピペしてラベル作成メインシートに貼付けて使用　</t>
    <rPh sb="0" eb="2">
      <t>タイショウ</t>
    </rPh>
    <rPh sb="2" eb="4">
      <t>ホウホウ</t>
    </rPh>
    <rPh sb="8" eb="10">
      <t>ヨウリョウ</t>
    </rPh>
    <rPh sb="10" eb="12">
      <t>ハンイ</t>
    </rPh>
    <rPh sb="13" eb="15">
      <t>タイショウ</t>
    </rPh>
    <rPh sb="16" eb="18">
      <t>ヨウリョウ</t>
    </rPh>
    <rPh sb="21" eb="23">
      <t>スウリョウ</t>
    </rPh>
    <rPh sb="23" eb="25">
      <t>リョウイキ</t>
    </rPh>
    <rPh sb="34" eb="36">
      <t>サクセイ</t>
    </rPh>
    <rPh sb="43" eb="45">
      <t>ハリツ</t>
    </rPh>
    <rPh sb="47" eb="49">
      <t>シヨウ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</si>
</sst>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quot;年&quot;m&quot;月&quot;d&quot;日&quot;;@"/>
    <numFmt numFmtId="177" formatCode="0.00_ "/>
  </numFmts>
  <fonts count="29">
    <font>
      <sz val="11"/>
      <color theme="1"/>
      <name val="游ゴシック"/>
      <family val="2"/>
      <charset val="128"/>
      <scheme val="minor"/>
    </font>
    <font>
      <sz val="6"/>
      <name val="游ゴシック"/>
      <family val="2"/>
      <charset val="128"/>
      <scheme val="minor"/>
    </font>
    <font>
      <b/>
      <sz val="22"/>
      <color theme="1"/>
      <name val="HG明朝E"/>
      <family val="1"/>
      <charset val="128"/>
    </font>
    <font>
      <sz val="22"/>
      <color theme="1"/>
      <name val="游ゴシック"/>
      <family val="2"/>
      <charset val="128"/>
      <scheme val="minor"/>
    </font>
    <font>
      <sz val="10"/>
      <color theme="1"/>
      <name val="游ゴシック"/>
      <family val="2"/>
      <charset val="128"/>
      <scheme val="minor"/>
    </font>
    <font>
      <sz val="11"/>
      <color theme="1"/>
      <name val="游ゴシック"/>
      <family val="3"/>
      <charset val="128"/>
      <scheme val="minor"/>
    </font>
    <font>
      <b/>
      <sz val="11"/>
      <color theme="1"/>
      <name val="游ゴシック"/>
      <family val="3"/>
      <charset val="128"/>
      <scheme val="minor"/>
    </font>
    <font>
      <sz val="10"/>
      <color theme="1"/>
      <name val="游ゴシック"/>
      <family val="3"/>
      <charset val="128"/>
      <scheme val="minor"/>
    </font>
    <font>
      <b/>
      <sz val="10"/>
      <color theme="1"/>
      <name val="游ゴシック"/>
      <family val="3"/>
      <charset val="128"/>
      <scheme val="minor"/>
    </font>
    <font>
      <sz val="11"/>
      <name val="游ゴシック"/>
      <family val="2"/>
      <charset val="128"/>
      <scheme val="minor"/>
    </font>
    <font>
      <b/>
      <sz val="11"/>
      <color rgb="FFFF0000"/>
      <name val="游ゴシック"/>
      <family val="3"/>
      <charset val="128"/>
      <scheme val="minor"/>
    </font>
    <font>
      <b/>
      <sz val="11"/>
      <color rgb="FF0000CC"/>
      <name val="游ゴシック"/>
      <family val="3"/>
      <charset val="128"/>
      <scheme val="minor"/>
    </font>
    <font>
      <sz val="11"/>
      <name val="游ゴシック"/>
      <family val="3"/>
      <charset val="128"/>
      <scheme val="minor"/>
    </font>
    <font>
      <b/>
      <sz val="8"/>
      <color theme="1"/>
      <name val="游ゴシック"/>
      <family val="3"/>
      <charset val="128"/>
      <scheme val="minor"/>
    </font>
    <font>
      <sz val="11"/>
      <color theme="0"/>
      <name val="游ゴシック"/>
      <family val="2"/>
      <charset val="128"/>
      <scheme val="minor"/>
    </font>
    <font>
      <sz val="11"/>
      <color theme="0" tint="-0.14999847407452621"/>
      <name val="游ゴシック"/>
      <family val="3"/>
      <charset val="128"/>
      <scheme val="minor"/>
    </font>
    <font>
      <b/>
      <sz val="11"/>
      <name val="游ゴシック"/>
      <family val="3"/>
      <charset val="128"/>
      <scheme val="minor"/>
    </font>
    <font>
      <b/>
      <sz val="11"/>
      <color theme="0"/>
      <name val="游ゴシック"/>
      <family val="3"/>
      <charset val="128"/>
      <scheme val="minor"/>
    </font>
    <font>
      <b/>
      <sz val="10.5"/>
      <color theme="1"/>
      <name val="游ゴシック"/>
      <family val="3"/>
      <charset val="128"/>
      <scheme val="minor"/>
    </font>
    <font>
      <b/>
      <sz val="10.5"/>
      <color rgb="FF0000CC"/>
      <name val="游ゴシック"/>
      <family val="3"/>
      <charset val="128"/>
      <scheme val="minor"/>
    </font>
    <font>
      <b/>
      <sz val="12"/>
      <color theme="1"/>
      <name val="游ゴシック"/>
      <family val="3"/>
      <charset val="128"/>
      <scheme val="minor"/>
    </font>
    <font>
      <sz val="12"/>
      <color theme="1"/>
      <name val="游ゴシック"/>
      <family val="3"/>
      <charset val="128"/>
      <scheme val="minor"/>
    </font>
    <font>
      <b/>
      <sz val="14"/>
      <color theme="1"/>
      <name val="游ゴシック"/>
      <family val="3"/>
      <charset val="128"/>
      <scheme val="minor"/>
    </font>
    <font>
      <b/>
      <sz val="10.5"/>
      <name val="游ゴシック"/>
      <family val="3"/>
      <charset val="128"/>
      <scheme val="minor"/>
    </font>
    <font>
      <sz val="14"/>
      <color theme="1"/>
      <name val="游ゴシック"/>
      <family val="3"/>
      <charset val="128"/>
      <scheme val="minor"/>
    </font>
    <font>
      <b/>
      <sz val="18"/>
      <color rgb="FF0000CC"/>
      <name val="游ゴシック"/>
      <family val="3"/>
      <charset val="128"/>
      <scheme val="minor"/>
    </font>
    <font>
      <b/>
      <sz val="22"/>
      <color theme="1"/>
      <name val="HGP明朝B"/>
      <family val="1"/>
      <charset val="128"/>
    </font>
    <font>
      <b/>
      <sz val="18"/>
      <color theme="1"/>
      <name val="游ゴシック"/>
      <family val="3"/>
      <charset val="128"/>
      <scheme val="minor"/>
    </font>
    <font>
      <b/>
      <sz val="26"/>
      <color rgb="FF0000CC"/>
      <name val="游ゴシック"/>
      <family val="3"/>
      <charset val="128"/>
      <scheme val="minor"/>
    </font>
  </fonts>
  <fills count="1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C9F1FF"/>
        <bgColor indexed="64"/>
      </patternFill>
    </fill>
    <fill>
      <patternFill patternType="solid">
        <fgColor rgb="FF00B050"/>
        <bgColor indexed="64"/>
      </patternFill>
    </fill>
    <fill>
      <patternFill patternType="solid">
        <fgColor rgb="FFFFFFCC"/>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C99"/>
        <bgColor indexed="64"/>
      </patternFill>
    </fill>
    <fill>
      <patternFill patternType="solid">
        <fgColor rgb="FFFFCCFF"/>
        <bgColor indexed="64"/>
      </patternFill>
    </fill>
    <fill>
      <patternFill patternType="solid">
        <fgColor theme="4" tint="0.79998168889431442"/>
        <bgColor indexed="64"/>
      </patternFill>
    </fill>
  </fills>
  <borders count="75">
    <border>
      <left/>
      <right/>
      <top/>
      <bottom/>
      <diagonal/>
    </border>
    <border>
      <left/>
      <right/>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diagonalDown="1">
      <left/>
      <right/>
      <top/>
      <bottom/>
      <diagonal style="thin">
        <color indexed="64"/>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top/>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diagonalDown="1">
      <left/>
      <right style="medium">
        <color indexed="64"/>
      </right>
      <top style="medium">
        <color indexed="64"/>
      </top>
      <bottom/>
      <diagonal style="thin">
        <color indexed="64"/>
      </diagonal>
    </border>
    <border diagonalDown="1">
      <left/>
      <right style="medium">
        <color indexed="64"/>
      </right>
      <top/>
      <bottom/>
      <diagonal style="thin">
        <color indexed="64"/>
      </diagonal>
    </border>
    <border diagonalDown="1">
      <left/>
      <right style="medium">
        <color indexed="64"/>
      </right>
      <top/>
      <bottom style="medium">
        <color indexed="64"/>
      </bottom>
      <diagonal style="thin">
        <color indexed="64"/>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thick">
        <color auto="1"/>
      </left>
      <right style="thick">
        <color auto="1"/>
      </right>
      <top/>
      <bottom/>
      <diagonal/>
    </border>
  </borders>
  <cellStyleXfs count="1">
    <xf numFmtId="0" fontId="0" fillId="0" borderId="0">
      <alignment vertical="center"/>
    </xf>
  </cellStyleXfs>
  <cellXfs count="333">
    <xf numFmtId="0" fontId="0" fillId="0" borderId="0" xfId="0">
      <alignment vertical="center"/>
    </xf>
    <xf numFmtId="0" fontId="0" fillId="7" borderId="0" xfId="0" applyFill="1">
      <alignment vertical="center"/>
    </xf>
    <xf numFmtId="0" fontId="6" fillId="0" borderId="0" xfId="0" applyFont="1" applyAlignment="1">
      <alignment horizontal="center" vertical="center"/>
    </xf>
    <xf numFmtId="0" fontId="6" fillId="0" borderId="0" xfId="0" applyFont="1">
      <alignment vertical="center"/>
    </xf>
    <xf numFmtId="0" fontId="6" fillId="0" borderId="0" xfId="0" quotePrefix="1" applyFont="1">
      <alignment vertical="center"/>
    </xf>
    <xf numFmtId="31" fontId="6" fillId="0" borderId="0" xfId="0" applyNumberFormat="1" applyFont="1">
      <alignment vertical="center"/>
    </xf>
    <xf numFmtId="0" fontId="0" fillId="0" borderId="0" xfId="0" quotePrefix="1">
      <alignment vertical="center"/>
    </xf>
    <xf numFmtId="0" fontId="10" fillId="0" borderId="0" xfId="0" applyFont="1">
      <alignment vertical="center"/>
    </xf>
    <xf numFmtId="0" fontId="11" fillId="0" borderId="0" xfId="0" applyFont="1">
      <alignment vertical="center"/>
    </xf>
    <xf numFmtId="0" fontId="12" fillId="0" borderId="0" xfId="0" applyFont="1">
      <alignment vertical="center"/>
    </xf>
    <xf numFmtId="0" fontId="0" fillId="0" borderId="0" xfId="0" applyAlignment="1">
      <alignment horizontal="center" vertical="center"/>
    </xf>
    <xf numFmtId="0" fontId="6" fillId="0" borderId="27" xfId="0" applyFont="1" applyBorder="1">
      <alignment vertical="center"/>
    </xf>
    <xf numFmtId="0" fontId="6" fillId="0" borderId="28" xfId="0" applyFont="1" applyBorder="1">
      <alignment vertical="center"/>
    </xf>
    <xf numFmtId="0" fontId="6" fillId="0" borderId="24" xfId="0" applyFont="1" applyBorder="1">
      <alignment vertical="center"/>
    </xf>
    <xf numFmtId="0" fontId="6" fillId="0" borderId="25" xfId="0" applyFont="1" applyBorder="1">
      <alignment vertical="center"/>
    </xf>
    <xf numFmtId="0" fontId="6" fillId="0" borderId="26" xfId="0" applyFont="1" applyBorder="1">
      <alignment vertical="center"/>
    </xf>
    <xf numFmtId="0" fontId="0" fillId="0" borderId="0" xfId="0" applyAlignment="1">
      <alignment horizontal="left" vertical="center"/>
    </xf>
    <xf numFmtId="0" fontId="4" fillId="0" borderId="0" xfId="0" applyFont="1" applyProtection="1">
      <alignment vertical="center"/>
      <protection locked="0"/>
    </xf>
    <xf numFmtId="0" fontId="0" fillId="0" borderId="21" xfId="0" applyBorder="1" applyProtection="1">
      <alignment vertical="center"/>
      <protection locked="0"/>
    </xf>
    <xf numFmtId="0" fontId="0" fillId="0" borderId="22" xfId="0" applyBorder="1" applyProtection="1">
      <alignment vertical="center"/>
      <protection locked="0"/>
    </xf>
    <xf numFmtId="0" fontId="0" fillId="0" borderId="23" xfId="0" applyBorder="1" applyProtection="1">
      <alignment vertical="center"/>
      <protection locked="0"/>
    </xf>
    <xf numFmtId="0" fontId="0" fillId="0" borderId="27" xfId="0" applyBorder="1" applyProtection="1">
      <alignment vertical="center"/>
      <protection locked="0"/>
    </xf>
    <xf numFmtId="0" fontId="0" fillId="0" borderId="0" xfId="0" applyProtection="1">
      <alignment vertical="center"/>
      <protection locked="0"/>
    </xf>
    <xf numFmtId="0" fontId="0" fillId="0" borderId="28" xfId="0" applyBorder="1" applyProtection="1">
      <alignment vertical="center"/>
      <protection locked="0"/>
    </xf>
    <xf numFmtId="0" fontId="0" fillId="0" borderId="24" xfId="0" applyBorder="1" applyProtection="1">
      <alignment vertical="center"/>
      <protection locked="0"/>
    </xf>
    <xf numFmtId="0" fontId="0" fillId="0" borderId="25" xfId="0" applyBorder="1" applyProtection="1">
      <alignment vertical="center"/>
      <protection locked="0"/>
    </xf>
    <xf numFmtId="0" fontId="0" fillId="0" borderId="26" xfId="0" applyBorder="1" applyProtection="1">
      <alignment vertical="center"/>
      <protection locked="0"/>
    </xf>
    <xf numFmtId="0" fontId="14" fillId="0" borderId="0" xfId="0" applyFont="1" applyProtection="1">
      <alignment vertical="center"/>
      <protection locked="0"/>
    </xf>
    <xf numFmtId="0" fontId="15" fillId="0" borderId="0" xfId="0" applyFont="1">
      <alignment vertical="center"/>
    </xf>
    <xf numFmtId="0" fontId="15" fillId="0" borderId="9" xfId="0" applyFont="1" applyBorder="1">
      <alignment vertical="center"/>
    </xf>
    <xf numFmtId="0" fontId="15" fillId="0" borderId="20" xfId="0" applyFont="1" applyBorder="1">
      <alignment vertical="center"/>
    </xf>
    <xf numFmtId="0" fontId="15" fillId="7" borderId="0" xfId="0" applyFont="1" applyFill="1">
      <alignment vertical="center"/>
    </xf>
    <xf numFmtId="49" fontId="0" fillId="0" borderId="0" xfId="0" applyNumberFormat="1" applyAlignment="1">
      <alignment horizontal="left" vertical="center"/>
    </xf>
    <xf numFmtId="49" fontId="5" fillId="0" borderId="0" xfId="0" applyNumberFormat="1" applyFont="1" applyAlignment="1">
      <alignment horizontal="left" vertical="center"/>
    </xf>
    <xf numFmtId="0" fontId="10" fillId="0" borderId="0" xfId="0" applyFont="1"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xf>
    <xf numFmtId="0" fontId="11" fillId="0" borderId="0" xfId="0" applyFont="1" applyAlignment="1">
      <alignment horizontal="left" vertical="center"/>
    </xf>
    <xf numFmtId="20" fontId="0" fillId="0" borderId="0" xfId="0" applyNumberFormat="1">
      <alignment vertical="center"/>
    </xf>
    <xf numFmtId="49" fontId="0" fillId="0" borderId="0" xfId="0" applyNumberFormat="1">
      <alignment vertical="center"/>
    </xf>
    <xf numFmtId="0" fontId="0" fillId="0" borderId="0" xfId="0" applyAlignment="1">
      <alignment vertical="center" wrapText="1"/>
    </xf>
    <xf numFmtId="0" fontId="9" fillId="0" borderId="22" xfId="0" applyFont="1" applyBorder="1" applyAlignment="1">
      <alignment horizontal="center" vertical="center"/>
    </xf>
    <xf numFmtId="0" fontId="9" fillId="0" borderId="22" xfId="0" applyFont="1" applyBorder="1">
      <alignment vertical="center"/>
    </xf>
    <xf numFmtId="0" fontId="9" fillId="0" borderId="0" xfId="0" applyFont="1">
      <alignment vertical="center"/>
    </xf>
    <xf numFmtId="0" fontId="9" fillId="0" borderId="0" xfId="0" applyFont="1" applyProtection="1">
      <alignment vertical="center"/>
      <protection locked="0"/>
    </xf>
    <xf numFmtId="0" fontId="7" fillId="0" borderId="0" xfId="0" applyFont="1" applyAlignment="1">
      <alignment horizontal="left" vertical="center"/>
    </xf>
    <xf numFmtId="0" fontId="16" fillId="0" borderId="0" xfId="0" applyFont="1" applyProtection="1">
      <alignment vertical="center"/>
      <protection locked="0"/>
    </xf>
    <xf numFmtId="0" fontId="17" fillId="0" borderId="0" xfId="0" applyFont="1" applyProtection="1">
      <alignment vertical="center"/>
      <protection locked="0"/>
    </xf>
    <xf numFmtId="0" fontId="4" fillId="0" borderId="1" xfId="0" applyFont="1" applyBorder="1" applyProtection="1">
      <alignment vertical="center"/>
      <protection locked="0"/>
    </xf>
    <xf numFmtId="0" fontId="6" fillId="0" borderId="0" xfId="0" applyFont="1" applyProtection="1">
      <alignment vertical="center"/>
      <protection locked="0"/>
    </xf>
    <xf numFmtId="0" fontId="8" fillId="0" borderId="22" xfId="0" applyFont="1" applyBorder="1" applyProtection="1">
      <alignment vertical="center"/>
      <protection locked="0"/>
    </xf>
    <xf numFmtId="0" fontId="8" fillId="0" borderId="0" xfId="0" applyFont="1">
      <alignment vertical="center"/>
    </xf>
    <xf numFmtId="31" fontId="0" fillId="0" borderId="0" xfId="0" applyNumberFormat="1">
      <alignment vertical="center"/>
    </xf>
    <xf numFmtId="0" fontId="0" fillId="0" borderId="22" xfId="0" applyBorder="1">
      <alignment vertical="center"/>
    </xf>
    <xf numFmtId="0" fontId="22" fillId="13" borderId="50" xfId="0" applyFont="1" applyFill="1" applyBorder="1" applyAlignment="1">
      <alignment horizontal="center" vertical="center" shrinkToFit="1"/>
    </xf>
    <xf numFmtId="0" fontId="22" fillId="13" borderId="51" xfId="0" applyFont="1" applyFill="1" applyBorder="1" applyAlignment="1">
      <alignment horizontal="center" vertical="center" shrinkToFit="1"/>
    </xf>
    <xf numFmtId="0" fontId="22" fillId="13" borderId="52" xfId="0" applyFont="1" applyFill="1" applyBorder="1" applyAlignment="1">
      <alignment horizontal="center" vertical="center" shrinkToFit="1"/>
    </xf>
    <xf numFmtId="0" fontId="22" fillId="7" borderId="53" xfId="0" applyFont="1" applyFill="1" applyBorder="1" applyAlignment="1">
      <alignment horizontal="center" vertical="center"/>
    </xf>
    <xf numFmtId="0" fontId="22" fillId="7" borderId="54" xfId="0" applyFont="1" applyFill="1" applyBorder="1" applyAlignment="1">
      <alignment horizontal="center" vertical="center"/>
    </xf>
    <xf numFmtId="0" fontId="22" fillId="7" borderId="55" xfId="0" applyFont="1" applyFill="1" applyBorder="1" applyAlignment="1">
      <alignment horizontal="center" vertical="center"/>
    </xf>
    <xf numFmtId="177" fontId="22" fillId="7" borderId="56" xfId="0" applyNumberFormat="1" applyFont="1" applyFill="1" applyBorder="1" applyAlignment="1">
      <alignment horizontal="center" vertical="center" shrinkToFit="1"/>
    </xf>
    <xf numFmtId="177" fontId="22" fillId="7" borderId="57" xfId="0" applyNumberFormat="1" applyFont="1" applyFill="1" applyBorder="1" applyAlignment="1">
      <alignment horizontal="center" vertical="center" shrinkToFit="1"/>
    </xf>
    <xf numFmtId="177" fontId="22" fillId="7" borderId="58" xfId="0" applyNumberFormat="1" applyFont="1" applyFill="1" applyBorder="1" applyAlignment="1">
      <alignment horizontal="center" vertical="center" shrinkToFit="1"/>
    </xf>
    <xf numFmtId="0" fontId="6" fillId="13" borderId="53" xfId="0" applyFont="1" applyFill="1" applyBorder="1" applyAlignment="1">
      <alignment horizontal="center" vertical="center"/>
    </xf>
    <xf numFmtId="0" fontId="6" fillId="13" borderId="54" xfId="0" applyFont="1" applyFill="1" applyBorder="1" applyAlignment="1">
      <alignment horizontal="center" vertical="center"/>
    </xf>
    <xf numFmtId="0" fontId="6" fillId="13" borderId="55" xfId="0" applyFont="1" applyFill="1" applyBorder="1" applyAlignment="1">
      <alignment horizontal="center" vertical="center"/>
    </xf>
    <xf numFmtId="0" fontId="22" fillId="7" borderId="59" xfId="0" applyFont="1" applyFill="1" applyBorder="1" applyAlignment="1">
      <alignment horizontal="center" vertical="center"/>
    </xf>
    <xf numFmtId="0" fontId="22" fillId="7" borderId="32" xfId="0" applyFont="1" applyFill="1" applyBorder="1" applyAlignment="1">
      <alignment horizontal="center" vertical="center"/>
    </xf>
    <xf numFmtId="0" fontId="22" fillId="7" borderId="33" xfId="0" applyFont="1" applyFill="1" applyBorder="1" applyAlignment="1">
      <alignment horizontal="center" vertical="center"/>
    </xf>
    <xf numFmtId="0" fontId="22" fillId="7" borderId="36" xfId="0" applyFont="1" applyFill="1" applyBorder="1" applyAlignment="1">
      <alignment horizontal="center" vertical="center"/>
    </xf>
    <xf numFmtId="0" fontId="22" fillId="7" borderId="9" xfId="0" applyFont="1" applyFill="1" applyBorder="1" applyAlignment="1">
      <alignment horizontal="center" vertical="center"/>
    </xf>
    <xf numFmtId="0" fontId="22" fillId="7" borderId="35" xfId="0" applyFont="1" applyFill="1" applyBorder="1" applyAlignment="1">
      <alignment horizontal="center" vertical="center"/>
    </xf>
    <xf numFmtId="0" fontId="22" fillId="7" borderId="37" xfId="0" applyFont="1" applyFill="1" applyBorder="1" applyAlignment="1">
      <alignment horizontal="center" vertical="center"/>
    </xf>
    <xf numFmtId="0" fontId="22" fillId="7" borderId="38" xfId="0" applyFont="1" applyFill="1" applyBorder="1" applyAlignment="1">
      <alignment horizontal="center" vertical="center"/>
    </xf>
    <xf numFmtId="0" fontId="22" fillId="7" borderId="39" xfId="0" applyFont="1" applyFill="1" applyBorder="1" applyAlignment="1">
      <alignment horizontal="center" vertical="center"/>
    </xf>
    <xf numFmtId="49" fontId="24" fillId="2" borderId="60" xfId="0" applyNumberFormat="1" applyFont="1" applyFill="1" applyBorder="1" applyAlignment="1">
      <alignment horizontal="center" vertical="center"/>
    </xf>
    <xf numFmtId="49" fontId="24" fillId="4" borderId="61" xfId="0" applyNumberFormat="1" applyFont="1" applyFill="1" applyBorder="1" applyAlignment="1">
      <alignment horizontal="center" vertical="center"/>
    </xf>
    <xf numFmtId="49" fontId="24" fillId="14" borderId="62" xfId="0" applyNumberFormat="1" applyFont="1" applyFill="1" applyBorder="1" applyAlignment="1">
      <alignment horizontal="center" vertical="center"/>
    </xf>
    <xf numFmtId="49" fontId="24" fillId="15" borderId="63" xfId="0" applyNumberFormat="1"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0" fillId="0" borderId="8" xfId="0" applyBorder="1">
      <alignment vertical="center"/>
    </xf>
    <xf numFmtId="0" fontId="0" fillId="0" borderId="7" xfId="0" applyBorder="1">
      <alignment vertical="center"/>
    </xf>
    <xf numFmtId="0" fontId="0" fillId="0" borderId="66" xfId="0" applyBorder="1">
      <alignment vertical="center"/>
    </xf>
    <xf numFmtId="0" fontId="0" fillId="0" borderId="2" xfId="0" applyBorder="1">
      <alignment vertical="center"/>
    </xf>
    <xf numFmtId="0" fontId="0" fillId="0" borderId="27" xfId="0" applyBorder="1">
      <alignment vertical="center"/>
    </xf>
    <xf numFmtId="0" fontId="0" fillId="0" borderId="67" xfId="0" applyBorder="1">
      <alignment vertical="center"/>
    </xf>
    <xf numFmtId="0" fontId="0" fillId="0" borderId="1" xfId="0" applyBorder="1">
      <alignment vertical="center"/>
    </xf>
    <xf numFmtId="0" fontId="0" fillId="10" borderId="0" xfId="0" applyFill="1">
      <alignment vertical="center"/>
    </xf>
    <xf numFmtId="49" fontId="24" fillId="2" borderId="68" xfId="0" applyNumberFormat="1" applyFont="1" applyFill="1" applyBorder="1" applyAlignment="1">
      <alignment horizontal="center" vertical="center"/>
    </xf>
    <xf numFmtId="49" fontId="24" fillId="4" borderId="69" xfId="0" applyNumberFormat="1" applyFont="1" applyFill="1" applyBorder="1" applyAlignment="1">
      <alignment horizontal="center" vertical="center"/>
    </xf>
    <xf numFmtId="49" fontId="24" fillId="14" borderId="66" xfId="0" applyNumberFormat="1" applyFont="1" applyFill="1" applyBorder="1" applyAlignment="1">
      <alignment horizontal="center" vertical="center"/>
    </xf>
    <xf numFmtId="49" fontId="24" fillId="15" borderId="70" xfId="0" applyNumberFormat="1" applyFont="1" applyFill="1" applyBorder="1" applyAlignment="1">
      <alignment horizontal="center" vertical="center"/>
    </xf>
    <xf numFmtId="0" fontId="6" fillId="13" borderId="50" xfId="0" applyFont="1" applyFill="1" applyBorder="1" applyAlignment="1">
      <alignment horizontal="center" vertical="center"/>
    </xf>
    <xf numFmtId="0" fontId="6" fillId="13" borderId="51" xfId="0" applyFont="1" applyFill="1" applyBorder="1" applyAlignment="1">
      <alignment horizontal="center" vertical="center"/>
    </xf>
    <xf numFmtId="0" fontId="6" fillId="13" borderId="52" xfId="0" applyFont="1" applyFill="1" applyBorder="1" applyAlignment="1">
      <alignment horizontal="center" vertical="center"/>
    </xf>
    <xf numFmtId="0" fontId="22" fillId="13" borderId="71" xfId="0" applyFont="1" applyFill="1" applyBorder="1" applyAlignment="1">
      <alignment horizontal="center" vertical="center" shrinkToFit="1"/>
    </xf>
    <xf numFmtId="0" fontId="22" fillId="13" borderId="20" xfId="0" applyFont="1" applyFill="1" applyBorder="1" applyAlignment="1">
      <alignment horizontal="center" vertical="center" shrinkToFit="1"/>
    </xf>
    <xf numFmtId="0" fontId="22" fillId="0" borderId="71" xfId="0" applyFont="1" applyBorder="1" applyAlignment="1">
      <alignment horizontal="center" vertical="center"/>
    </xf>
    <xf numFmtId="0" fontId="22" fillId="0" borderId="20" xfId="0" applyFont="1" applyBorder="1" applyAlignment="1">
      <alignment horizontal="center" vertical="center"/>
    </xf>
    <xf numFmtId="0" fontId="22" fillId="13" borderId="72" xfId="0" applyFont="1" applyFill="1" applyBorder="1" applyAlignment="1">
      <alignment horizontal="center" vertical="center" shrinkToFit="1"/>
    </xf>
    <xf numFmtId="0" fontId="22" fillId="0" borderId="72" xfId="0" applyFont="1" applyBorder="1" applyAlignment="1">
      <alignment horizontal="center" vertical="center"/>
    </xf>
    <xf numFmtId="177" fontId="22" fillId="0" borderId="24" xfId="0" applyNumberFormat="1" applyFont="1" applyBorder="1" applyAlignment="1">
      <alignment horizontal="center" vertical="center" shrinkToFit="1"/>
    </xf>
    <xf numFmtId="177" fontId="22" fillId="0" borderId="73" xfId="0" applyNumberFormat="1" applyFont="1" applyBorder="1" applyAlignment="1">
      <alignment horizontal="center" vertical="center" shrinkToFit="1"/>
    </xf>
    <xf numFmtId="177" fontId="22" fillId="0" borderId="25" xfId="0" applyNumberFormat="1" applyFont="1" applyBorder="1" applyAlignment="1">
      <alignment horizontal="center" vertical="center" shrinkToFit="1"/>
    </xf>
    <xf numFmtId="177" fontId="22" fillId="0" borderId="73" xfId="0" applyNumberFormat="1" applyFont="1" applyBorder="1" applyAlignment="1">
      <alignment horizontal="center" vertical="center"/>
    </xf>
    <xf numFmtId="0" fontId="0" fillId="0" borderId="74" xfId="0" applyBorder="1">
      <alignment vertical="center"/>
    </xf>
    <xf numFmtId="0" fontId="0" fillId="0" borderId="74" xfId="0" applyBorder="1" applyAlignment="1">
      <alignment horizontal="left" vertical="center"/>
    </xf>
    <xf numFmtId="0" fontId="8" fillId="0" borderId="0" xfId="0" applyFont="1">
      <alignment vertical="center"/>
    </xf>
    <xf numFmtId="0" fontId="6" fillId="8" borderId="21" xfId="0" applyFont="1" applyFill="1" applyBorder="1" applyAlignment="1">
      <alignment horizontal="center" vertical="center"/>
    </xf>
    <xf numFmtId="0" fontId="6" fillId="8" borderId="22" xfId="0" applyFont="1" applyFill="1" applyBorder="1" applyAlignment="1">
      <alignment horizontal="center" vertical="center"/>
    </xf>
    <xf numFmtId="0" fontId="6" fillId="8" borderId="23" xfId="0" applyFont="1" applyFill="1" applyBorder="1" applyAlignment="1">
      <alignment horizontal="center" vertical="center"/>
    </xf>
    <xf numFmtId="0" fontId="6" fillId="8" borderId="24" xfId="0" applyFont="1" applyFill="1" applyBorder="1" applyAlignment="1">
      <alignment horizontal="center" vertical="center"/>
    </xf>
    <xf numFmtId="0" fontId="6" fillId="8" borderId="25" xfId="0" applyFont="1" applyFill="1" applyBorder="1" applyAlignment="1">
      <alignment horizontal="center" vertical="center"/>
    </xf>
    <xf numFmtId="0" fontId="6" fillId="8" borderId="26" xfId="0" applyFont="1" applyFill="1" applyBorder="1" applyAlignment="1">
      <alignment horizontal="center" vertical="center"/>
    </xf>
    <xf numFmtId="176" fontId="20" fillId="7" borderId="21" xfId="0" applyNumberFormat="1" applyFont="1" applyFill="1" applyBorder="1" applyAlignment="1">
      <alignment horizontal="center" vertical="center"/>
    </xf>
    <xf numFmtId="176" fontId="20" fillId="7" borderId="22" xfId="0" applyNumberFormat="1" applyFont="1" applyFill="1" applyBorder="1" applyAlignment="1">
      <alignment horizontal="center" vertical="center"/>
    </xf>
    <xf numFmtId="176" fontId="20" fillId="7" borderId="23" xfId="0" applyNumberFormat="1" applyFont="1" applyFill="1" applyBorder="1" applyAlignment="1">
      <alignment horizontal="center" vertical="center"/>
    </xf>
    <xf numFmtId="176" fontId="20" fillId="7" borderId="24" xfId="0" applyNumberFormat="1" applyFont="1" applyFill="1" applyBorder="1" applyAlignment="1">
      <alignment horizontal="center" vertical="center"/>
    </xf>
    <xf numFmtId="176" fontId="20" fillId="7" borderId="25" xfId="0" applyNumberFormat="1" applyFont="1" applyFill="1" applyBorder="1" applyAlignment="1">
      <alignment horizontal="center" vertical="center"/>
    </xf>
    <xf numFmtId="176" fontId="20" fillId="7" borderId="26" xfId="0" applyNumberFormat="1" applyFont="1" applyFill="1" applyBorder="1" applyAlignment="1">
      <alignment horizontal="center" vertical="center"/>
    </xf>
    <xf numFmtId="0" fontId="6" fillId="7" borderId="9" xfId="0" applyFont="1" applyFill="1" applyBorder="1" applyAlignment="1">
      <alignment horizontal="center" vertical="center"/>
    </xf>
    <xf numFmtId="0" fontId="6" fillId="7" borderId="38" xfId="0" applyFont="1" applyFill="1" applyBorder="1" applyAlignment="1">
      <alignment horizontal="center" vertical="center"/>
    </xf>
    <xf numFmtId="0" fontId="5" fillId="7" borderId="29" xfId="0" applyFont="1" applyFill="1" applyBorder="1" applyAlignment="1">
      <alignment horizontal="center" vertical="center"/>
    </xf>
    <xf numFmtId="0" fontId="5" fillId="7" borderId="9" xfId="0" applyFont="1" applyFill="1" applyBorder="1" applyAlignment="1">
      <alignment horizontal="center" vertical="center"/>
    </xf>
    <xf numFmtId="0" fontId="6" fillId="5" borderId="36"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35" xfId="0" applyFont="1" applyFill="1" applyBorder="1" applyAlignment="1">
      <alignment horizontal="center" vertical="center"/>
    </xf>
    <xf numFmtId="0" fontId="5" fillId="7" borderId="35" xfId="0" applyFont="1" applyFill="1" applyBorder="1" applyAlignment="1">
      <alignment horizontal="center" vertical="center"/>
    </xf>
    <xf numFmtId="0" fontId="5" fillId="7" borderId="38" xfId="0" applyFont="1" applyFill="1" applyBorder="1" applyAlignment="1">
      <alignment horizontal="center" vertical="center"/>
    </xf>
    <xf numFmtId="0" fontId="5" fillId="7" borderId="39" xfId="0" applyFont="1" applyFill="1" applyBorder="1" applyAlignment="1">
      <alignment horizontal="center" vertical="center"/>
    </xf>
    <xf numFmtId="0" fontId="6" fillId="7" borderId="45" xfId="0" applyFont="1" applyFill="1" applyBorder="1" applyAlignment="1">
      <alignment horizontal="center" vertical="center"/>
    </xf>
    <xf numFmtId="49" fontId="20" fillId="0" borderId="3" xfId="0" applyNumberFormat="1" applyFont="1" applyBorder="1" applyAlignment="1" applyProtection="1">
      <alignment horizontal="center" vertical="center"/>
      <protection locked="0"/>
    </xf>
    <xf numFmtId="49" fontId="20" fillId="0" borderId="2"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0" borderId="5" xfId="0" applyNumberFormat="1" applyFont="1" applyBorder="1" applyAlignment="1" applyProtection="1">
      <alignment horizontal="center" vertical="center"/>
      <protection locked="0"/>
    </xf>
    <xf numFmtId="49" fontId="20" fillId="0" borderId="1" xfId="0" applyNumberFormat="1" applyFont="1" applyBorder="1" applyAlignment="1" applyProtection="1">
      <alignment horizontal="center" vertical="center"/>
      <protection locked="0"/>
    </xf>
    <xf numFmtId="49" fontId="20" fillId="0" borderId="6" xfId="0" applyNumberFormat="1" applyFont="1" applyBorder="1" applyAlignment="1" applyProtection="1">
      <alignment horizontal="center" vertical="center"/>
      <protection locked="0"/>
    </xf>
    <xf numFmtId="0" fontId="20" fillId="0" borderId="21" xfId="0" applyFont="1" applyBorder="1" applyAlignment="1" applyProtection="1">
      <alignment horizontal="center" vertical="center"/>
      <protection locked="0"/>
    </xf>
    <xf numFmtId="0" fontId="20" fillId="0" borderId="22" xfId="0" applyFont="1" applyBorder="1" applyAlignment="1" applyProtection="1">
      <alignment horizontal="center" vertical="center"/>
      <protection locked="0"/>
    </xf>
    <xf numFmtId="0" fontId="20" fillId="0" borderId="24" xfId="0" applyFont="1" applyBorder="1" applyAlignment="1" applyProtection="1">
      <alignment horizontal="center" vertical="center"/>
      <protection locked="0"/>
    </xf>
    <xf numFmtId="0" fontId="20" fillId="0" borderId="25" xfId="0" applyFont="1" applyBorder="1" applyAlignment="1" applyProtection="1">
      <alignment horizontal="center" vertical="center"/>
      <protection locked="0"/>
    </xf>
    <xf numFmtId="0" fontId="20" fillId="0" borderId="23" xfId="0" applyFont="1" applyBorder="1" applyAlignment="1" applyProtection="1">
      <alignment horizontal="center" vertical="center"/>
      <protection locked="0"/>
    </xf>
    <xf numFmtId="0" fontId="20" fillId="0" borderId="26" xfId="0" applyFont="1" applyBorder="1" applyAlignment="1" applyProtection="1">
      <alignment horizontal="center" vertical="center"/>
      <protection locked="0"/>
    </xf>
    <xf numFmtId="0" fontId="8" fillId="0" borderId="0" xfId="0" applyFont="1" applyProtection="1">
      <alignment vertical="center"/>
      <protection locked="0"/>
    </xf>
    <xf numFmtId="0" fontId="6" fillId="0" borderId="0" xfId="0" applyFont="1">
      <alignment vertical="center"/>
    </xf>
    <xf numFmtId="0" fontId="6" fillId="0" borderId="0" xfId="0" applyFont="1" applyAlignment="1">
      <alignment horizontal="left" vertical="center"/>
    </xf>
    <xf numFmtId="0" fontId="6" fillId="6" borderId="36"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35" xfId="0" applyFont="1" applyFill="1" applyBorder="1" applyAlignment="1">
      <alignment horizontal="center" vertical="center"/>
    </xf>
    <xf numFmtId="0" fontId="6" fillId="6" borderId="37" xfId="0" applyFont="1" applyFill="1" applyBorder="1" applyAlignment="1">
      <alignment horizontal="center" vertical="center"/>
    </xf>
    <xf numFmtId="0" fontId="6" fillId="6" borderId="38" xfId="0" applyFont="1" applyFill="1" applyBorder="1" applyAlignment="1">
      <alignment horizontal="center" vertical="center"/>
    </xf>
    <xf numFmtId="0" fontId="6" fillId="6" borderId="39" xfId="0" applyFont="1" applyFill="1" applyBorder="1" applyAlignment="1">
      <alignment horizontal="center" vertical="center"/>
    </xf>
    <xf numFmtId="0" fontId="6" fillId="9" borderId="45" xfId="0" applyFont="1" applyFill="1" applyBorder="1" applyAlignment="1">
      <alignment horizontal="center" vertical="center"/>
    </xf>
    <xf numFmtId="0" fontId="6" fillId="9" borderId="9" xfId="0" applyFont="1" applyFill="1" applyBorder="1" applyAlignment="1">
      <alignment horizontal="center" vertical="center"/>
    </xf>
    <xf numFmtId="0" fontId="6" fillId="9" borderId="46" xfId="0" applyFont="1" applyFill="1" applyBorder="1" applyAlignment="1">
      <alignment horizontal="center" vertical="center"/>
    </xf>
    <xf numFmtId="0" fontId="6" fillId="9" borderId="38" xfId="0" applyFont="1" applyFill="1" applyBorder="1" applyAlignment="1">
      <alignment horizontal="center" vertical="center"/>
    </xf>
    <xf numFmtId="0" fontId="6" fillId="11" borderId="9" xfId="0" applyFont="1" applyFill="1" applyBorder="1" applyAlignment="1">
      <alignment horizontal="center" vertical="center"/>
    </xf>
    <xf numFmtId="0" fontId="6" fillId="11" borderId="38" xfId="0" applyFont="1" applyFill="1" applyBorder="1" applyAlignment="1">
      <alignment horizontal="center" vertical="center"/>
    </xf>
    <xf numFmtId="0" fontId="6" fillId="0" borderId="9" xfId="0" applyFont="1" applyBorder="1" applyAlignment="1">
      <alignment horizontal="center" vertical="center"/>
    </xf>
    <xf numFmtId="0" fontId="6" fillId="0" borderId="38" xfId="0" applyFont="1" applyBorder="1" applyAlignment="1">
      <alignment horizontal="center" vertical="center"/>
    </xf>
    <xf numFmtId="0" fontId="5" fillId="7" borderId="6" xfId="0" applyFont="1" applyFill="1" applyBorder="1" applyAlignment="1">
      <alignment horizontal="center" vertical="center"/>
    </xf>
    <xf numFmtId="0" fontId="5" fillId="7" borderId="45" xfId="0" applyFont="1" applyFill="1" applyBorder="1" applyAlignment="1">
      <alignment horizontal="center" vertical="center"/>
    </xf>
    <xf numFmtId="0" fontId="6" fillId="4" borderId="36"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35" xfId="0" applyFont="1" applyFill="1" applyBorder="1" applyAlignment="1">
      <alignment horizontal="center" vertical="center"/>
    </xf>
    <xf numFmtId="0" fontId="21" fillId="0" borderId="11" xfId="0" applyFont="1" applyBorder="1" applyAlignment="1">
      <alignment horizontal="left" vertical="center"/>
    </xf>
    <xf numFmtId="0" fontId="21" fillId="0" borderId="12" xfId="0" applyFont="1" applyBorder="1" applyAlignment="1">
      <alignment horizontal="left" vertical="center"/>
    </xf>
    <xf numFmtId="0" fontId="21" fillId="0" borderId="13" xfId="0" applyFont="1" applyBorder="1" applyAlignment="1">
      <alignment horizontal="left" vertical="center"/>
    </xf>
    <xf numFmtId="0" fontId="21" fillId="0" borderId="14" xfId="0" applyFont="1" applyBorder="1" applyAlignment="1">
      <alignment horizontal="left" vertical="center"/>
    </xf>
    <xf numFmtId="0" fontId="21" fillId="0" borderId="15" xfId="0" applyFont="1" applyBorder="1" applyAlignment="1">
      <alignment horizontal="left" vertical="center"/>
    </xf>
    <xf numFmtId="0" fontId="21" fillId="0" borderId="16" xfId="0" applyFont="1" applyBorder="1" applyAlignment="1">
      <alignment horizontal="left" vertical="center"/>
    </xf>
    <xf numFmtId="0" fontId="21" fillId="0" borderId="17" xfId="0" applyFont="1" applyBorder="1" applyAlignment="1">
      <alignment horizontal="left" vertical="center"/>
    </xf>
    <xf numFmtId="0" fontId="21" fillId="0" borderId="18" xfId="0" applyFont="1" applyBorder="1" applyAlignment="1">
      <alignment horizontal="left" vertical="center"/>
    </xf>
    <xf numFmtId="0" fontId="21" fillId="0" borderId="19" xfId="0" applyFont="1" applyBorder="1" applyAlignment="1">
      <alignment horizontal="left" vertical="center"/>
    </xf>
    <xf numFmtId="0" fontId="0" fillId="0" borderId="30" xfId="0" applyBorder="1">
      <alignment vertical="center"/>
    </xf>
    <xf numFmtId="0" fontId="0" fillId="0" borderId="31" xfId="0" applyBorder="1">
      <alignment vertical="center"/>
    </xf>
    <xf numFmtId="0" fontId="0" fillId="0" borderId="47" xfId="0" applyBorder="1">
      <alignment vertical="center"/>
    </xf>
    <xf numFmtId="0" fontId="0" fillId="0" borderId="34" xfId="0" applyBorder="1">
      <alignment vertical="center"/>
    </xf>
    <xf numFmtId="0" fontId="0" fillId="0" borderId="10" xfId="0" applyBorder="1">
      <alignment vertical="center"/>
    </xf>
    <xf numFmtId="0" fontId="0" fillId="0" borderId="48" xfId="0" applyBorder="1">
      <alignment vertical="center"/>
    </xf>
    <xf numFmtId="0" fontId="0" fillId="0" borderId="42" xfId="0" applyBorder="1">
      <alignment vertical="center"/>
    </xf>
    <xf numFmtId="0" fontId="0" fillId="0" borderId="43" xfId="0" applyBorder="1">
      <alignment vertical="center"/>
    </xf>
    <xf numFmtId="0" fontId="0" fillId="0" borderId="49" xfId="0" applyBorder="1">
      <alignment vertical="center"/>
    </xf>
    <xf numFmtId="0" fontId="22" fillId="7" borderId="44" xfId="0" applyFont="1" applyFill="1" applyBorder="1" applyAlignment="1">
      <alignment horizontal="center" vertical="center" shrinkToFit="1"/>
    </xf>
    <xf numFmtId="0" fontId="22" fillId="7" borderId="32" xfId="0" applyFont="1" applyFill="1" applyBorder="1" applyAlignment="1">
      <alignment horizontal="center" vertical="center" shrinkToFit="1"/>
    </xf>
    <xf numFmtId="0" fontId="22" fillId="7" borderId="45" xfId="0" applyFont="1" applyFill="1" applyBorder="1" applyAlignment="1">
      <alignment horizontal="center" vertical="center" shrinkToFit="1"/>
    </xf>
    <xf numFmtId="0" fontId="22" fillId="7" borderId="9" xfId="0" applyFont="1" applyFill="1" applyBorder="1" applyAlignment="1">
      <alignment horizontal="center" vertical="center" shrinkToFit="1"/>
    </xf>
    <xf numFmtId="0" fontId="22" fillId="7" borderId="46" xfId="0" applyFont="1" applyFill="1" applyBorder="1" applyAlignment="1">
      <alignment horizontal="center" vertical="center" shrinkToFit="1"/>
    </xf>
    <xf numFmtId="0" fontId="22" fillId="7" borderId="38" xfId="0" applyFont="1" applyFill="1" applyBorder="1" applyAlignment="1">
      <alignment horizontal="center" vertical="center" shrinkToFit="1"/>
    </xf>
    <xf numFmtId="0" fontId="22" fillId="0" borderId="32" xfId="0" applyFont="1" applyBorder="1" applyAlignment="1">
      <alignment horizontal="center" vertical="center" shrinkToFit="1"/>
    </xf>
    <xf numFmtId="0" fontId="22" fillId="0" borderId="9" xfId="0" applyFont="1" applyBorder="1" applyAlignment="1">
      <alignment horizontal="center" vertical="center" shrinkToFit="1"/>
    </xf>
    <xf numFmtId="0" fontId="22" fillId="0" borderId="38" xfId="0" applyFont="1" applyBorder="1" applyAlignment="1">
      <alignment horizontal="center" vertical="center" shrinkToFit="1"/>
    </xf>
    <xf numFmtId="0" fontId="6" fillId="3" borderId="36"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5" xfId="0" applyFont="1" applyFill="1" applyBorder="1" applyAlignment="1">
      <alignment horizontal="center" vertical="center"/>
    </xf>
    <xf numFmtId="0" fontId="5" fillId="7" borderId="41" xfId="0" applyFont="1" applyFill="1" applyBorder="1" applyAlignment="1">
      <alignment horizontal="center" vertical="center"/>
    </xf>
    <xf numFmtId="0" fontId="6" fillId="2" borderId="40" xfId="0" applyFont="1" applyFill="1" applyBorder="1" applyAlignment="1">
      <alignment horizontal="center" vertical="center"/>
    </xf>
    <xf numFmtId="0" fontId="6" fillId="2" borderId="29" xfId="0" applyFont="1" applyFill="1" applyBorder="1" applyAlignment="1">
      <alignment horizontal="center" vertical="center"/>
    </xf>
    <xf numFmtId="0" fontId="6" fillId="2" borderId="41" xfId="0" applyFont="1" applyFill="1" applyBorder="1" applyAlignment="1">
      <alignment horizontal="center" vertical="center"/>
    </xf>
    <xf numFmtId="0" fontId="6" fillId="2" borderId="36"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35" xfId="0" applyFont="1" applyFill="1" applyBorder="1" applyAlignment="1">
      <alignment horizontal="center" vertical="center"/>
    </xf>
    <xf numFmtId="14" fontId="18" fillId="10" borderId="21" xfId="0" applyNumberFormat="1" applyFont="1" applyFill="1" applyBorder="1" applyAlignment="1">
      <alignment horizontal="center" vertical="center" wrapText="1"/>
    </xf>
    <xf numFmtId="0" fontId="18" fillId="10" borderId="22" xfId="0" applyFont="1" applyFill="1" applyBorder="1" applyAlignment="1">
      <alignment horizontal="center" vertical="center" wrapText="1"/>
    </xf>
    <xf numFmtId="0" fontId="18" fillId="10" borderId="23" xfId="0" applyFont="1" applyFill="1" applyBorder="1" applyAlignment="1">
      <alignment horizontal="center" vertical="center" wrapText="1"/>
    </xf>
    <xf numFmtId="0" fontId="18" fillId="10" borderId="27" xfId="0" applyFont="1" applyFill="1" applyBorder="1" applyAlignment="1">
      <alignment horizontal="center" vertical="center" wrapText="1"/>
    </xf>
    <xf numFmtId="0" fontId="18" fillId="10" borderId="0" xfId="0" applyFont="1" applyFill="1" applyAlignment="1">
      <alignment horizontal="center" vertical="center" wrapText="1"/>
    </xf>
    <xf numFmtId="0" fontId="18" fillId="10" borderId="28" xfId="0" applyFont="1" applyFill="1" applyBorder="1" applyAlignment="1">
      <alignment horizontal="center" vertical="center" wrapText="1"/>
    </xf>
    <xf numFmtId="0" fontId="18" fillId="10" borderId="24" xfId="0" applyFont="1" applyFill="1" applyBorder="1" applyAlignment="1">
      <alignment horizontal="center" vertical="center" wrapText="1"/>
    </xf>
    <xf numFmtId="0" fontId="18" fillId="10" borderId="25" xfId="0" applyFont="1" applyFill="1" applyBorder="1" applyAlignment="1">
      <alignment horizontal="center" vertical="center" wrapText="1"/>
    </xf>
    <xf numFmtId="0" fontId="18" fillId="10" borderId="26" xfId="0" applyFont="1" applyFill="1" applyBorder="1" applyAlignment="1">
      <alignment horizontal="center" vertical="center" wrapText="1"/>
    </xf>
    <xf numFmtId="0" fontId="2" fillId="0" borderId="0" xfId="0" applyFont="1">
      <alignment vertical="center"/>
    </xf>
    <xf numFmtId="0" fontId="3" fillId="0" borderId="0" xfId="0" applyFont="1">
      <alignment vertical="center"/>
    </xf>
    <xf numFmtId="0" fontId="0" fillId="0" borderId="0" xfId="0">
      <alignment vertical="center"/>
    </xf>
    <xf numFmtId="0" fontId="20" fillId="0" borderId="21" xfId="0" applyFont="1" applyBorder="1" applyAlignment="1">
      <alignment horizontal="center" vertical="center"/>
    </xf>
    <xf numFmtId="0" fontId="20" fillId="0" borderId="22" xfId="0" applyFont="1" applyBorder="1" applyAlignment="1">
      <alignment horizontal="center" vertical="center"/>
    </xf>
    <xf numFmtId="0" fontId="20" fillId="0" borderId="23" xfId="0" applyFont="1" applyBorder="1" applyAlignment="1">
      <alignment horizontal="center" vertical="center"/>
    </xf>
    <xf numFmtId="0" fontId="20" fillId="0" borderId="24" xfId="0" applyFont="1" applyBorder="1" applyAlignment="1">
      <alignment horizontal="center" vertical="center"/>
    </xf>
    <xf numFmtId="0" fontId="20" fillId="0" borderId="25" xfId="0" applyFont="1" applyBorder="1" applyAlignment="1">
      <alignment horizontal="center" vertical="center"/>
    </xf>
    <xf numFmtId="0" fontId="20" fillId="0" borderId="26" xfId="0" applyFont="1" applyBorder="1" applyAlignment="1">
      <alignment horizontal="center" vertical="center"/>
    </xf>
    <xf numFmtId="49" fontId="20" fillId="0" borderId="21" xfId="0" applyNumberFormat="1" applyFont="1" applyBorder="1" applyAlignment="1">
      <alignment horizontal="center" vertical="center" wrapText="1"/>
    </xf>
    <xf numFmtId="49" fontId="20" fillId="0" borderId="22" xfId="0" applyNumberFormat="1" applyFont="1" applyBorder="1" applyAlignment="1">
      <alignment horizontal="center" vertical="center" wrapText="1"/>
    </xf>
    <xf numFmtId="49" fontId="20" fillId="0" borderId="23" xfId="0" applyNumberFormat="1" applyFont="1" applyBorder="1" applyAlignment="1">
      <alignment horizontal="center" vertical="center" wrapText="1"/>
    </xf>
    <xf numFmtId="49" fontId="20" fillId="0" borderId="24" xfId="0" applyNumberFormat="1" applyFont="1" applyBorder="1" applyAlignment="1">
      <alignment horizontal="center" vertical="center" wrapText="1"/>
    </xf>
    <xf numFmtId="49" fontId="20" fillId="0" borderId="25" xfId="0" applyNumberFormat="1" applyFont="1" applyBorder="1" applyAlignment="1">
      <alignment horizontal="center" vertical="center" wrapText="1"/>
    </xf>
    <xf numFmtId="49" fontId="20" fillId="0" borderId="26" xfId="0" applyNumberFormat="1" applyFont="1" applyBorder="1" applyAlignment="1">
      <alignment horizontal="center" vertical="center" wrapText="1"/>
    </xf>
    <xf numFmtId="0" fontId="18" fillId="0" borderId="21" xfId="0" applyFont="1" applyBorder="1">
      <alignment vertical="center"/>
    </xf>
    <xf numFmtId="0" fontId="18" fillId="0" borderId="22" xfId="0" applyFont="1" applyBorder="1">
      <alignment vertical="center"/>
    </xf>
    <xf numFmtId="0" fontId="18" fillId="0" borderId="23" xfId="0" applyFont="1" applyBorder="1">
      <alignment vertical="center"/>
    </xf>
    <xf numFmtId="0" fontId="18" fillId="0" borderId="24" xfId="0" applyFont="1" applyBorder="1">
      <alignment vertical="center"/>
    </xf>
    <xf numFmtId="0" fontId="18" fillId="0" borderId="25" xfId="0" applyFont="1" applyBorder="1">
      <alignment vertical="center"/>
    </xf>
    <xf numFmtId="0" fontId="18" fillId="0" borderId="26" xfId="0" applyFont="1" applyBorder="1">
      <alignment vertical="center"/>
    </xf>
    <xf numFmtId="0" fontId="20" fillId="7" borderId="21" xfId="0" applyFont="1" applyFill="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21" fillId="0" borderId="25" xfId="0" applyFont="1" applyBorder="1" applyAlignment="1">
      <alignment horizontal="center" vertical="center"/>
    </xf>
    <xf numFmtId="0" fontId="21" fillId="0" borderId="26" xfId="0" applyFont="1" applyBorder="1" applyAlignment="1">
      <alignment horizontal="center" vertical="center"/>
    </xf>
    <xf numFmtId="0" fontId="20" fillId="0" borderId="22" xfId="0" applyFont="1" applyBorder="1">
      <alignment vertical="center"/>
    </xf>
    <xf numFmtId="0" fontId="20" fillId="0" borderId="23" xfId="0" applyFont="1" applyBorder="1">
      <alignment vertical="center"/>
    </xf>
    <xf numFmtId="0" fontId="20" fillId="0" borderId="24" xfId="0" applyFont="1" applyBorder="1">
      <alignment vertical="center"/>
    </xf>
    <xf numFmtId="0" fontId="20" fillId="0" borderId="25" xfId="0" applyFont="1" applyBorder="1">
      <alignment vertical="center"/>
    </xf>
    <xf numFmtId="0" fontId="20" fillId="0" borderId="26" xfId="0" applyFont="1" applyBorder="1">
      <alignment vertical="center"/>
    </xf>
    <xf numFmtId="0" fontId="13" fillId="0" borderId="21" xfId="0" applyFont="1" applyBorder="1" applyAlignment="1">
      <alignment horizontal="center" vertical="center" wrapText="1"/>
    </xf>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6" fillId="0" borderId="27" xfId="0" applyFont="1" applyBorder="1" applyAlignment="1">
      <alignment horizontal="center" vertical="center"/>
    </xf>
    <xf numFmtId="0" fontId="6" fillId="0" borderId="0" xfId="0" applyFont="1" applyAlignment="1">
      <alignment horizontal="center" vertical="center"/>
    </xf>
    <xf numFmtId="0" fontId="6" fillId="0" borderId="28"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26" xfId="0" applyFont="1" applyBorder="1" applyAlignment="1">
      <alignment horizontal="center" vertical="center"/>
    </xf>
    <xf numFmtId="0" fontId="22" fillId="0" borderId="33" xfId="0" applyFont="1" applyBorder="1" applyAlignment="1">
      <alignment horizontal="center" vertical="center" shrinkToFit="1"/>
    </xf>
    <xf numFmtId="0" fontId="22" fillId="0" borderId="35" xfId="0" applyFont="1" applyBorder="1" applyAlignment="1">
      <alignment horizontal="center" vertical="center" shrinkToFit="1"/>
    </xf>
    <xf numFmtId="0" fontId="22" fillId="0" borderId="39" xfId="0" applyFont="1" applyBorder="1" applyAlignment="1">
      <alignment horizontal="center" vertical="center" shrinkToFit="1"/>
    </xf>
    <xf numFmtId="0" fontId="20" fillId="0" borderId="27" xfId="0" applyFont="1" applyBorder="1" applyAlignment="1">
      <alignment horizontal="center" vertical="center"/>
    </xf>
    <xf numFmtId="0" fontId="20" fillId="0" borderId="0" xfId="0" applyFont="1" applyAlignment="1">
      <alignment horizontal="center" vertical="center"/>
    </xf>
    <xf numFmtId="0" fontId="20" fillId="0" borderId="28" xfId="0" applyFont="1" applyBorder="1" applyAlignment="1">
      <alignment horizontal="center" vertical="center"/>
    </xf>
    <xf numFmtId="0" fontId="13" fillId="0" borderId="3"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0" fillId="0" borderId="0" xfId="0" applyAlignment="1">
      <alignment horizontal="left" vertical="center"/>
    </xf>
    <xf numFmtId="0" fontId="26" fillId="12" borderId="21" xfId="0" applyFont="1" applyFill="1" applyBorder="1" applyAlignment="1">
      <alignment horizontal="center" vertical="center" wrapText="1"/>
    </xf>
    <xf numFmtId="0" fontId="27" fillId="12" borderId="22" xfId="0" applyFont="1" applyFill="1" applyBorder="1" applyAlignment="1">
      <alignment horizontal="center" vertical="center" wrapText="1"/>
    </xf>
    <xf numFmtId="0" fontId="27" fillId="12" borderId="23" xfId="0" applyFont="1" applyFill="1" applyBorder="1" applyAlignment="1">
      <alignment horizontal="center" vertical="center" wrapText="1"/>
    </xf>
    <xf numFmtId="0" fontId="27" fillId="12" borderId="24" xfId="0" applyFont="1" applyFill="1" applyBorder="1" applyAlignment="1">
      <alignment horizontal="center" vertical="center" wrapText="1"/>
    </xf>
    <xf numFmtId="0" fontId="27" fillId="12" borderId="25" xfId="0" applyFont="1" applyFill="1" applyBorder="1" applyAlignment="1">
      <alignment horizontal="center" vertical="center" wrapText="1"/>
    </xf>
    <xf numFmtId="0" fontId="27" fillId="12" borderId="26" xfId="0" applyFont="1" applyFill="1" applyBorder="1" applyAlignment="1">
      <alignment horizontal="center" vertical="center" wrapText="1"/>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25" fillId="10" borderId="21" xfId="0" applyFont="1" applyFill="1" applyBorder="1" applyAlignment="1">
      <alignment horizontal="center" vertical="center"/>
    </xf>
    <xf numFmtId="0" fontId="25" fillId="10" borderId="22" xfId="0" applyFont="1" applyFill="1" applyBorder="1" applyAlignment="1">
      <alignment horizontal="center" vertical="center"/>
    </xf>
    <xf numFmtId="0" fontId="25" fillId="10" borderId="23" xfId="0" applyFont="1" applyFill="1" applyBorder="1" applyAlignment="1">
      <alignment horizontal="center" vertical="center"/>
    </xf>
    <xf numFmtId="0" fontId="25" fillId="10" borderId="24" xfId="0" applyFont="1" applyFill="1" applyBorder="1" applyAlignment="1">
      <alignment horizontal="center" vertical="center"/>
    </xf>
    <xf numFmtId="0" fontId="25" fillId="10" borderId="25" xfId="0" applyFont="1" applyFill="1" applyBorder="1" applyAlignment="1">
      <alignment horizontal="center" vertical="center"/>
    </xf>
    <xf numFmtId="0" fontId="25" fillId="10" borderId="26" xfId="0" applyFont="1" applyFill="1" applyBorder="1" applyAlignment="1">
      <alignment horizontal="center" vertical="center"/>
    </xf>
    <xf numFmtId="0" fontId="28" fillId="12" borderId="21" xfId="0" applyFont="1" applyFill="1" applyBorder="1">
      <alignment vertical="center"/>
    </xf>
    <xf numFmtId="0" fontId="28" fillId="12" borderId="22" xfId="0" applyFont="1" applyFill="1" applyBorder="1">
      <alignment vertical="center"/>
    </xf>
    <xf numFmtId="0" fontId="28" fillId="12" borderId="23" xfId="0" applyFont="1" applyFill="1" applyBorder="1">
      <alignment vertical="center"/>
    </xf>
    <xf numFmtId="0" fontId="28" fillId="12" borderId="27" xfId="0" applyFont="1" applyFill="1" applyBorder="1">
      <alignment vertical="center"/>
    </xf>
    <xf numFmtId="0" fontId="28" fillId="12" borderId="0" xfId="0" applyFont="1" applyFill="1">
      <alignment vertical="center"/>
    </xf>
    <xf numFmtId="0" fontId="28" fillId="12" borderId="28" xfId="0" applyFont="1" applyFill="1" applyBorder="1">
      <alignment vertical="center"/>
    </xf>
    <xf numFmtId="0" fontId="28" fillId="12" borderId="24" xfId="0" applyFont="1" applyFill="1" applyBorder="1">
      <alignment vertical="center"/>
    </xf>
    <xf numFmtId="0" fontId="28" fillId="12" borderId="25" xfId="0" applyFont="1" applyFill="1" applyBorder="1">
      <alignment vertical="center"/>
    </xf>
    <xf numFmtId="0" fontId="28" fillId="12" borderId="26" xfId="0" applyFont="1" applyFill="1" applyBorder="1">
      <alignment vertical="center"/>
    </xf>
    <xf numFmtId="0" fontId="28" fillId="12" borderId="21" xfId="0" applyFont="1" applyFill="1" applyBorder="1" applyAlignment="1">
      <alignment horizontal="center" vertical="center"/>
    </xf>
    <xf numFmtId="0" fontId="28" fillId="12" borderId="22" xfId="0" applyFont="1" applyFill="1" applyBorder="1" applyAlignment="1">
      <alignment horizontal="center" vertical="center"/>
    </xf>
    <xf numFmtId="0" fontId="28" fillId="12" borderId="23" xfId="0" applyFont="1" applyFill="1" applyBorder="1" applyAlignment="1">
      <alignment horizontal="center" vertical="center"/>
    </xf>
    <xf numFmtId="0" fontId="28" fillId="12" borderId="27" xfId="0" applyFont="1" applyFill="1" applyBorder="1" applyAlignment="1">
      <alignment horizontal="center" vertical="center"/>
    </xf>
    <xf numFmtId="0" fontId="28" fillId="12" borderId="0" xfId="0" applyFont="1" applyFill="1" applyAlignment="1">
      <alignment horizontal="center" vertical="center"/>
    </xf>
    <xf numFmtId="0" fontId="28" fillId="12" borderId="28" xfId="0" applyFont="1" applyFill="1" applyBorder="1" applyAlignment="1">
      <alignment horizontal="center" vertical="center"/>
    </xf>
    <xf numFmtId="0" fontId="28" fillId="12" borderId="24" xfId="0" applyFont="1" applyFill="1" applyBorder="1" applyAlignment="1">
      <alignment horizontal="center" vertical="center"/>
    </xf>
    <xf numFmtId="0" fontId="28" fillId="12" borderId="25" xfId="0" applyFont="1" applyFill="1" applyBorder="1" applyAlignment="1">
      <alignment horizontal="center" vertical="center"/>
    </xf>
    <xf numFmtId="0" fontId="28" fillId="12" borderId="26" xfId="0" applyFont="1" applyFill="1" applyBorder="1" applyAlignment="1">
      <alignment horizontal="center" vertical="center"/>
    </xf>
    <xf numFmtId="0" fontId="20" fillId="12" borderId="21" xfId="0" applyFont="1" applyFill="1" applyBorder="1" applyAlignment="1">
      <alignment horizontal="center" vertical="center" wrapText="1"/>
    </xf>
    <xf numFmtId="0" fontId="20" fillId="12" borderId="22" xfId="0" applyFont="1" applyFill="1" applyBorder="1" applyAlignment="1">
      <alignment horizontal="center" vertical="center" wrapText="1"/>
    </xf>
    <xf numFmtId="0" fontId="20" fillId="12" borderId="23" xfId="0" applyFont="1" applyFill="1" applyBorder="1" applyAlignment="1">
      <alignment horizontal="center" vertical="center" wrapText="1"/>
    </xf>
    <xf numFmtId="0" fontId="20" fillId="12" borderId="24" xfId="0" applyFont="1" applyFill="1" applyBorder="1" applyAlignment="1">
      <alignment horizontal="center" vertical="center" wrapText="1"/>
    </xf>
    <xf numFmtId="0" fontId="20" fillId="12" borderId="25" xfId="0" applyFont="1" applyFill="1" applyBorder="1" applyAlignment="1">
      <alignment horizontal="center" vertical="center" wrapText="1"/>
    </xf>
    <xf numFmtId="0" fontId="20" fillId="12" borderId="26" xfId="0" applyFont="1" applyFill="1" applyBorder="1" applyAlignment="1">
      <alignment horizontal="center" vertical="center" wrapText="1"/>
    </xf>
    <xf numFmtId="49" fontId="25" fillId="10" borderId="21" xfId="0" applyNumberFormat="1" applyFont="1" applyFill="1" applyBorder="1" applyAlignment="1">
      <alignment horizontal="center" vertical="center"/>
    </xf>
    <xf numFmtId="0" fontId="18" fillId="0" borderId="21" xfId="0" applyFont="1" applyFill="1" applyBorder="1" applyAlignment="1">
      <alignment horizontal="center" vertical="center" wrapText="1"/>
    </xf>
    <xf numFmtId="0" fontId="18" fillId="0" borderId="22" xfId="0" applyFont="1" applyFill="1" applyBorder="1" applyAlignment="1">
      <alignment horizontal="center" vertical="center" wrapText="1"/>
    </xf>
    <xf numFmtId="0" fontId="18" fillId="0" borderId="23" xfId="0" applyFont="1" applyFill="1" applyBorder="1" applyAlignment="1">
      <alignment horizontal="center" vertical="center" wrapText="1"/>
    </xf>
    <xf numFmtId="0" fontId="18" fillId="0" borderId="27" xfId="0" applyFont="1" applyFill="1" applyBorder="1" applyAlignment="1">
      <alignment horizontal="center" vertical="center" wrapText="1"/>
    </xf>
    <xf numFmtId="0" fontId="18" fillId="0" borderId="0" xfId="0" applyFont="1" applyFill="1" applyAlignment="1">
      <alignment horizontal="center" vertical="center" wrapText="1"/>
    </xf>
    <xf numFmtId="0" fontId="18" fillId="0" borderId="28" xfId="0" applyFont="1" applyFill="1" applyBorder="1" applyAlignment="1">
      <alignment horizontal="center" vertical="center" wrapText="1"/>
    </xf>
    <xf numFmtId="0" fontId="18" fillId="0" borderId="24" xfId="0" applyFont="1" applyFill="1" applyBorder="1" applyAlignment="1">
      <alignment horizontal="center" vertical="center" wrapText="1"/>
    </xf>
    <xf numFmtId="0" fontId="18" fillId="0" borderId="25" xfId="0" applyFont="1" applyFill="1" applyBorder="1" applyAlignment="1">
      <alignment horizontal="center" vertical="center" wrapText="1"/>
    </xf>
    <xf numFmtId="0" fontId="18" fillId="0" borderId="26" xfId="0" applyFont="1" applyFill="1" applyBorder="1" applyAlignment="1">
      <alignment horizontal="center" vertical="center" wrapText="1"/>
    </xf>
    <xf numFmtId="0" fontId="23" fillId="0" borderId="27" xfId="0" applyFont="1" applyFill="1" applyBorder="1" applyAlignment="1" applyProtection="1">
      <alignment horizontal="center" vertical="center" wrapText="1"/>
      <protection locked="0"/>
    </xf>
    <xf numFmtId="0" fontId="23" fillId="0" borderId="0" xfId="0" applyFont="1" applyFill="1" applyAlignment="1" applyProtection="1">
      <alignment horizontal="center" vertical="center" wrapText="1"/>
      <protection locked="0"/>
    </xf>
    <xf numFmtId="0" fontId="18" fillId="0" borderId="27"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wrapText="1"/>
      <protection locked="0"/>
    </xf>
    <xf numFmtId="0" fontId="18" fillId="0" borderId="28" xfId="0" applyFont="1" applyFill="1" applyBorder="1" applyAlignment="1" applyProtection="1">
      <alignment horizontal="center" vertical="center" wrapText="1"/>
      <protection locked="0"/>
    </xf>
    <xf numFmtId="0" fontId="0" fillId="0" borderId="0" xfId="0" applyFill="1" applyProtection="1">
      <alignment vertical="center"/>
      <protection locked="0"/>
    </xf>
    <xf numFmtId="0" fontId="0" fillId="0" borderId="0" xfId="0" applyFill="1">
      <alignment vertical="center"/>
    </xf>
    <xf numFmtId="0" fontId="15" fillId="0" borderId="0" xfId="0" applyFont="1" applyFill="1">
      <alignment vertical="center"/>
    </xf>
    <xf numFmtId="0" fontId="6" fillId="0" borderId="0" xfId="0" applyFont="1" applyFill="1" applyAlignment="1" applyProtection="1">
      <alignment vertical="center" wrapText="1"/>
      <protection locked="0"/>
    </xf>
    <xf numFmtId="0" fontId="6" fillId="0" borderId="0" xfId="0" applyFont="1" applyFill="1" applyAlignment="1">
      <alignment vertical="center" wrapText="1"/>
    </xf>
    <xf numFmtId="0" fontId="23" fillId="0" borderId="24" xfId="0" applyFont="1" applyFill="1" applyBorder="1" applyAlignment="1" applyProtection="1">
      <alignment horizontal="center" vertical="center" wrapText="1"/>
      <protection locked="0"/>
    </xf>
    <xf numFmtId="0" fontId="23" fillId="0" borderId="25" xfId="0" applyFont="1" applyFill="1" applyBorder="1" applyAlignment="1" applyProtection="1">
      <alignment horizontal="center" vertical="center" wrapText="1"/>
      <protection locked="0"/>
    </xf>
    <xf numFmtId="0" fontId="18" fillId="0" borderId="24" xfId="0" applyFont="1" applyFill="1" applyBorder="1" applyAlignment="1" applyProtection="1">
      <alignment horizontal="center" vertical="center" wrapText="1"/>
      <protection locked="0"/>
    </xf>
    <xf numFmtId="0" fontId="18" fillId="0" borderId="25" xfId="0" applyFont="1" applyFill="1" applyBorder="1" applyAlignment="1" applyProtection="1">
      <alignment horizontal="center" vertical="center" wrapText="1"/>
      <protection locked="0"/>
    </xf>
    <xf numFmtId="0" fontId="18" fillId="0" borderId="26" xfId="0" applyFont="1" applyFill="1" applyBorder="1" applyAlignment="1" applyProtection="1">
      <alignment horizontal="center" vertical="center" wrapText="1"/>
      <protection locked="0"/>
    </xf>
  </cellXfs>
  <cellStyles count="1">
    <cellStyle name="標準" xfId="0" builtinId="0"/>
  </cellStyles>
  <dxfs count="165">
    <dxf>
      <fill>
        <patternFill>
          <bgColor rgb="FFFFFFCC"/>
        </patternFill>
      </fill>
    </dxf>
    <dxf>
      <fill>
        <patternFill>
          <bgColor rgb="FF00FF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CC"/>
        </patternFill>
      </fill>
    </dxf>
    <dxf>
      <fill>
        <patternFill>
          <bgColor rgb="FF00FF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patternFill>
      </fill>
    </dxf>
    <dxf>
      <fill>
        <patternFill>
          <bgColor rgb="FFCCFFFF"/>
        </patternFill>
      </fill>
    </dxf>
    <dxf>
      <fill>
        <patternFill>
          <bgColor theme="0"/>
        </patternFill>
      </fill>
    </dxf>
    <dxf>
      <fill>
        <patternFill>
          <bgColor theme="0" tint="-0.24994659260841701"/>
        </patternFill>
      </fill>
    </dxf>
    <dxf>
      <font>
        <color auto="1"/>
      </font>
      <fill>
        <patternFill>
          <bgColor rgb="FFFFFFCC"/>
        </patternFill>
      </fill>
    </dxf>
    <dxf>
      <font>
        <color auto="1"/>
      </font>
      <fill>
        <patternFill>
          <bgColor rgb="FFFFFFCC"/>
        </patternFill>
      </fill>
    </dxf>
    <dxf>
      <font>
        <color auto="1"/>
      </font>
      <fill>
        <patternFill>
          <bgColor rgb="FFFFFFCC"/>
        </patternFill>
      </fill>
    </dxf>
    <dxf>
      <font>
        <color auto="1"/>
      </font>
      <fill>
        <patternFill>
          <bgColor rgb="FFFFFFCC"/>
        </patternFill>
      </fill>
    </dxf>
    <dxf>
      <font>
        <color auto="1"/>
      </font>
      <fill>
        <patternFill>
          <bgColor rgb="FFFFFFCC"/>
        </patternFill>
      </fill>
    </dxf>
    <dxf>
      <font>
        <color auto="1"/>
      </font>
      <fill>
        <patternFill>
          <bgColor rgb="FFFFFFCC"/>
        </patternFill>
      </fill>
    </dxf>
    <dxf>
      <font>
        <color auto="1"/>
      </font>
      <fill>
        <patternFill>
          <bgColor rgb="FFFF7C80"/>
        </patternFill>
      </fill>
    </dxf>
    <dxf>
      <fill>
        <patternFill>
          <bgColor theme="0" tint="-0.24994659260841701"/>
        </patternFill>
      </fill>
    </dxf>
    <dxf>
      <font>
        <b/>
        <i val="0"/>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CCFFFF"/>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b/>
        <i val="0"/>
      </font>
      <fill>
        <patternFill>
          <bgColor rgb="FFCCFFFF"/>
        </patternFill>
      </fill>
    </dxf>
    <dxf>
      <fill>
        <patternFill>
          <bgColor theme="0" tint="-0.24994659260841701"/>
        </patternFill>
      </fill>
    </dxf>
    <dxf>
      <font>
        <b/>
        <i val="0"/>
      </font>
      <fill>
        <patternFill>
          <bgColor theme="0" tint="-0.24994659260841701"/>
        </patternFill>
      </fill>
    </dxf>
    <dxf>
      <fill>
        <patternFill>
          <bgColor theme="0" tint="-0.24994659260841701"/>
        </patternFill>
      </fill>
    </dxf>
    <dxf>
      <fill>
        <patternFill>
          <bgColor theme="0" tint="-0.24994659260841701"/>
        </patternFill>
      </fill>
    </dxf>
    <dxf>
      <font>
        <b/>
        <i val="0"/>
      </font>
      <fill>
        <patternFill>
          <bgColor theme="0" tint="-0.24994659260841701"/>
        </patternFill>
      </fill>
    </dxf>
    <dxf>
      <font>
        <b/>
        <i val="0"/>
      </font>
      <fill>
        <patternFill>
          <bgColor theme="0" tint="-0.24994659260841701"/>
        </patternFill>
      </fill>
    </dxf>
    <dxf>
      <font>
        <b/>
        <i val="0"/>
      </font>
      <fill>
        <patternFill>
          <bgColor theme="0" tint="-0.24994659260841701"/>
        </patternFill>
      </fill>
    </dxf>
    <dxf>
      <font>
        <b/>
        <i val="0"/>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CC"/>
        </patternFill>
      </fill>
    </dxf>
    <dxf>
      <fill>
        <patternFill>
          <bgColor rgb="FFFFFFCC"/>
        </patternFill>
      </fill>
    </dxf>
    <dxf>
      <fill>
        <patternFill>
          <bgColor rgb="FFCCCCFF"/>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99FF"/>
        </patternFill>
      </fill>
    </dxf>
    <dxf>
      <fill>
        <patternFill>
          <bgColor rgb="FFFFFFCC"/>
        </patternFill>
      </fill>
    </dxf>
    <dxf>
      <fill>
        <patternFill>
          <bgColor rgb="FFFF7C80"/>
        </patternFill>
      </fill>
    </dxf>
    <dxf>
      <fill>
        <patternFill>
          <bgColor rgb="FFFFFFCC"/>
        </patternFill>
      </fill>
    </dxf>
    <dxf>
      <fill>
        <patternFill>
          <bgColor rgb="FFFF7C80"/>
        </patternFill>
      </fill>
    </dxf>
    <dxf>
      <fill>
        <patternFill>
          <bgColor rgb="FFFF99FF"/>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auto="1"/>
      </font>
      <fill>
        <patternFill>
          <bgColor rgb="FFFF66FF"/>
        </patternFill>
      </fill>
    </dxf>
    <dxf>
      <fill>
        <patternFill>
          <bgColor rgb="FF00FF0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theme="0" tint="-0.24994659260841701"/>
        </patternFill>
      </fill>
    </dxf>
    <dxf>
      <fill>
        <patternFill>
          <bgColor rgb="FF00B0F0"/>
        </patternFill>
      </fill>
    </dxf>
    <dxf>
      <fill>
        <patternFill>
          <bgColor theme="0" tint="-0.24994659260841701"/>
        </patternFill>
      </fill>
    </dxf>
    <dxf>
      <fill>
        <patternFill>
          <bgColor rgb="FF00B0F0"/>
        </patternFill>
      </fill>
    </dxf>
    <dxf>
      <fill>
        <patternFill>
          <bgColor theme="0" tint="-0.24994659260841701"/>
        </patternFill>
      </fill>
    </dxf>
    <dxf>
      <font>
        <color auto="1"/>
      </font>
      <fill>
        <patternFill>
          <bgColor rgb="FFFFFFCC"/>
        </patternFill>
      </fill>
    </dxf>
    <dxf>
      <fill>
        <patternFill>
          <bgColor rgb="FFFF7C80"/>
        </patternFill>
      </fill>
    </dxf>
    <dxf>
      <font>
        <color auto="1"/>
      </font>
      <fill>
        <patternFill>
          <bgColor rgb="FFFFFFCC"/>
        </patternFill>
      </fill>
    </dxf>
    <dxf>
      <fill>
        <patternFill>
          <bgColor rgb="FFFF7C80"/>
        </patternFill>
      </fill>
    </dxf>
  </dxfs>
  <tableStyles count="0" defaultTableStyle="TableStyleMedium2" defaultPivotStyle="PivotStyleLight16"/>
  <colors>
    <mruColors>
      <color rgb="FF0000CC"/>
      <color rgb="FFFFFFCC"/>
      <color rgb="FF66FFFF"/>
      <color rgb="FFCCFFFF"/>
      <color rgb="FF000099"/>
      <color rgb="FFCCCCFF"/>
      <color rgb="FF99FFCC"/>
      <color rgb="FFFF9999"/>
      <color rgb="FFFFCCFF"/>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AF$7" fmlaRange="$BL$4:$BL$6" noThreeD="1" sel="1" val="0"/>
</file>

<file path=xl/ctrlProps/ctrlProp2.xml><?xml version="1.0" encoding="utf-8"?>
<formControlPr xmlns="http://schemas.microsoft.com/office/spreadsheetml/2009/9/main" objectType="Drop" dropStyle="combo" dx="31" fmlaLink="$N$7" fmlaRange="$BO$4:$BO$6" noThreeD="1" sel="1" val="0"/>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11" Type="http://schemas.openxmlformats.org/officeDocument/2006/relationships/image" Target="../media/image25.png"/><Relationship Id="rId5" Type="http://schemas.openxmlformats.org/officeDocument/2006/relationships/image" Target="../media/image19.png"/><Relationship Id="rId10" Type="http://schemas.openxmlformats.org/officeDocument/2006/relationships/image" Target="../media/image24.png"/><Relationship Id="rId4" Type="http://schemas.openxmlformats.org/officeDocument/2006/relationships/image" Target="../media/image18.png"/><Relationship Id="rId9"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emf"/><Relationship Id="rId3" Type="http://schemas.openxmlformats.org/officeDocument/2006/relationships/image" Target="../media/image9.emf"/><Relationship Id="rId7" Type="http://schemas.openxmlformats.org/officeDocument/2006/relationships/image" Target="../media/image4.emf"/><Relationship Id="rId12" Type="http://schemas.openxmlformats.org/officeDocument/2006/relationships/image" Target="../media/image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11" Type="http://schemas.openxmlformats.org/officeDocument/2006/relationships/image" Target="../media/image3.emf"/><Relationship Id="rId5" Type="http://schemas.openxmlformats.org/officeDocument/2006/relationships/image" Target="../media/image6.emf"/><Relationship Id="rId10" Type="http://schemas.openxmlformats.org/officeDocument/2006/relationships/image" Target="../media/image13.emf"/><Relationship Id="rId4" Type="http://schemas.openxmlformats.org/officeDocument/2006/relationships/image" Target="../media/image10.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26</xdr:col>
      <xdr:colOff>48422</xdr:colOff>
      <xdr:row>46</xdr:row>
      <xdr:rowOff>124876</xdr:rowOff>
    </xdr:from>
    <xdr:to>
      <xdr:col>31</xdr:col>
      <xdr:colOff>37378</xdr:colOff>
      <xdr:row>48</xdr:row>
      <xdr:rowOff>135919</xdr:rowOff>
    </xdr:to>
    <xdr:sp macro="" textlink="">
      <xdr:nvSpPr>
        <xdr:cNvPr id="2" name="矢印: 右 1">
          <a:extLst>
            <a:ext uri="{FF2B5EF4-FFF2-40B4-BE49-F238E27FC236}">
              <a16:creationId xmlns:a16="http://schemas.microsoft.com/office/drawing/2014/main" id="{00000000-0008-0000-0000-000002000000}"/>
            </a:ext>
          </a:extLst>
        </xdr:cNvPr>
        <xdr:cNvSpPr/>
      </xdr:nvSpPr>
      <xdr:spPr>
        <a:xfrm>
          <a:off x="2842422" y="7564145"/>
          <a:ext cx="526264" cy="32854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66262</xdr:colOff>
      <xdr:row>51</xdr:row>
      <xdr:rowOff>30185</xdr:rowOff>
    </xdr:from>
    <xdr:to>
      <xdr:col>42</xdr:col>
      <xdr:colOff>76199</xdr:colOff>
      <xdr:row>55</xdr:row>
      <xdr:rowOff>33866</xdr:rowOff>
    </xdr:to>
    <xdr:sp macro="" textlink="">
      <xdr:nvSpPr>
        <xdr:cNvPr id="3" name="矢印: 右 2">
          <a:extLst>
            <a:ext uri="{FF2B5EF4-FFF2-40B4-BE49-F238E27FC236}">
              <a16:creationId xmlns:a16="http://schemas.microsoft.com/office/drawing/2014/main" id="{00000000-0008-0000-0000-000003000000}"/>
            </a:ext>
          </a:extLst>
        </xdr:cNvPr>
        <xdr:cNvSpPr/>
      </xdr:nvSpPr>
      <xdr:spPr>
        <a:xfrm rot="5400000">
          <a:off x="4222290" y="8387890"/>
          <a:ext cx="613281" cy="340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30</xdr:col>
          <xdr:colOff>9525</xdr:colOff>
          <xdr:row>20</xdr:row>
          <xdr:rowOff>9525</xdr:rowOff>
        </xdr:from>
        <xdr:to>
          <xdr:col>39</xdr:col>
          <xdr:colOff>66675</xdr:colOff>
          <xdr:row>22</xdr:row>
          <xdr:rowOff>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57150</xdr:colOff>
          <xdr:row>20</xdr:row>
          <xdr:rowOff>9525</xdr:rowOff>
        </xdr:from>
        <xdr:to>
          <xdr:col>57</xdr:col>
          <xdr:colOff>0</xdr:colOff>
          <xdr:row>21</xdr:row>
          <xdr:rowOff>142875</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104775</xdr:colOff>
          <xdr:row>8</xdr:row>
          <xdr:rowOff>0</xdr:rowOff>
        </xdr:from>
        <xdr:to>
          <xdr:col>38</xdr:col>
          <xdr:colOff>104775</xdr:colOff>
          <xdr:row>10</xdr:row>
          <xdr:rowOff>0</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xdr:row>
          <xdr:rowOff>0</xdr:rowOff>
        </xdr:from>
        <xdr:to>
          <xdr:col>20</xdr:col>
          <xdr:colOff>104775</xdr:colOff>
          <xdr:row>10</xdr:row>
          <xdr:rowOff>0</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54</xdr:row>
          <xdr:rowOff>0</xdr:rowOff>
        </xdr:from>
        <xdr:to>
          <xdr:col>9</xdr:col>
          <xdr:colOff>19050</xdr:colOff>
          <xdr:row>55</xdr:row>
          <xdr:rowOff>142875</xdr:rowOff>
        </xdr:to>
        <xdr:sp macro="" textlink="">
          <xdr:nvSpPr>
            <xdr:cNvPr id="1047" name="CommandButton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371475</xdr:colOff>
          <xdr:row>1</xdr:row>
          <xdr:rowOff>9525</xdr:rowOff>
        </xdr:from>
        <xdr:to>
          <xdr:col>61</xdr:col>
          <xdr:colOff>95250</xdr:colOff>
          <xdr:row>3</xdr:row>
          <xdr:rowOff>76200</xdr:rowOff>
        </xdr:to>
        <xdr:sp macro="" textlink="">
          <xdr:nvSpPr>
            <xdr:cNvPr id="1048" name="CommandButton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6685</xdr:colOff>
      <xdr:row>22</xdr:row>
      <xdr:rowOff>16711</xdr:rowOff>
    </xdr:from>
    <xdr:to>
      <xdr:col>8</xdr:col>
      <xdr:colOff>101601</xdr:colOff>
      <xdr:row>24</xdr:row>
      <xdr:rowOff>139700</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425785" y="3436186"/>
          <a:ext cx="514016" cy="427789"/>
          <a:chOff x="431131" y="3542632"/>
          <a:chExt cx="528053" cy="464552"/>
        </a:xfrm>
      </xdr:grpSpPr>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621631" y="3542632"/>
            <a:ext cx="337553" cy="15708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600" baseline="0"/>
              <a:t>容量</a:t>
            </a:r>
          </a:p>
        </xdr:txBody>
      </xdr:sp>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1131" y="3883527"/>
            <a:ext cx="374316" cy="123657"/>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en-US" altLang="ja-JP" sz="400" baseline="0"/>
              <a:t>C</a:t>
            </a:r>
            <a:r>
              <a:rPr kumimoji="1" lang="ja-JP" altLang="en-US" sz="400" baseline="0"/>
              <a:t>サイズ</a:t>
            </a:r>
          </a:p>
        </xdr:txBody>
      </xdr:sp>
    </xdr:grpSp>
    <xdr:clientData/>
  </xdr:twoCellAnchor>
  <mc:AlternateContent xmlns:mc="http://schemas.openxmlformats.org/markup-compatibility/2006">
    <mc:Choice xmlns:a14="http://schemas.microsoft.com/office/drawing/2010/main" Requires="a14">
      <xdr:twoCellAnchor editAs="oneCell">
        <xdr:from>
          <xdr:col>47</xdr:col>
          <xdr:colOff>66675</xdr:colOff>
          <xdr:row>52</xdr:row>
          <xdr:rowOff>47625</xdr:rowOff>
        </xdr:from>
        <xdr:to>
          <xdr:col>57</xdr:col>
          <xdr:colOff>19050</xdr:colOff>
          <xdr:row>54</xdr:row>
          <xdr:rowOff>66675</xdr:rowOff>
        </xdr:to>
        <xdr:sp macro="" textlink="">
          <xdr:nvSpPr>
            <xdr:cNvPr id="1057" name="CommandButton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44</xdr:row>
          <xdr:rowOff>161925</xdr:rowOff>
        </xdr:from>
        <xdr:to>
          <xdr:col>9</xdr:col>
          <xdr:colOff>9525</xdr:colOff>
          <xdr:row>46</xdr:row>
          <xdr:rowOff>95250</xdr:rowOff>
        </xdr:to>
        <xdr:sp macro="" textlink="">
          <xdr:nvSpPr>
            <xdr:cNvPr id="1058" name="CommandButton6"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55</xdr:row>
          <xdr:rowOff>0</xdr:rowOff>
        </xdr:from>
        <xdr:to>
          <xdr:col>57</xdr:col>
          <xdr:colOff>19050</xdr:colOff>
          <xdr:row>56</xdr:row>
          <xdr:rowOff>123825</xdr:rowOff>
        </xdr:to>
        <xdr:sp macro="" textlink="">
          <xdr:nvSpPr>
            <xdr:cNvPr id="1059" name="CommandButton7"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44</xdr:row>
          <xdr:rowOff>161925</xdr:rowOff>
        </xdr:from>
        <xdr:to>
          <xdr:col>32</xdr:col>
          <xdr:colOff>104775</xdr:colOff>
          <xdr:row>46</xdr:row>
          <xdr:rowOff>95250</xdr:rowOff>
        </xdr:to>
        <xdr:sp macro="" textlink="">
          <xdr:nvSpPr>
            <xdr:cNvPr id="1060" name="CommandButton8"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85725</xdr:colOff>
          <xdr:row>51</xdr:row>
          <xdr:rowOff>142875</xdr:rowOff>
        </xdr:from>
        <xdr:to>
          <xdr:col>40</xdr:col>
          <xdr:colOff>76200</xdr:colOff>
          <xdr:row>53</xdr:row>
          <xdr:rowOff>133350</xdr:rowOff>
        </xdr:to>
        <xdr:sp macro="" textlink="">
          <xdr:nvSpPr>
            <xdr:cNvPr id="1061" name="CommandButton9"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45</xdr:row>
          <xdr:rowOff>9525</xdr:rowOff>
        </xdr:from>
        <xdr:to>
          <xdr:col>56</xdr:col>
          <xdr:colOff>85725</xdr:colOff>
          <xdr:row>46</xdr:row>
          <xdr:rowOff>95250</xdr:rowOff>
        </xdr:to>
        <xdr:sp macro="" textlink="">
          <xdr:nvSpPr>
            <xdr:cNvPr id="1062" name="CommandButton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xdr:colOff>
          <xdr:row>14</xdr:row>
          <xdr:rowOff>28575</xdr:rowOff>
        </xdr:from>
        <xdr:to>
          <xdr:col>57</xdr:col>
          <xdr:colOff>57150</xdr:colOff>
          <xdr:row>16</xdr:row>
          <xdr:rowOff>0</xdr:rowOff>
        </xdr:to>
        <xdr:sp macro="" textlink="">
          <xdr:nvSpPr>
            <xdr:cNvPr id="1066" name="CommandButton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14</xdr:row>
          <xdr:rowOff>38100</xdr:rowOff>
        </xdr:from>
        <xdr:to>
          <xdr:col>48</xdr:col>
          <xdr:colOff>85725</xdr:colOff>
          <xdr:row>16</xdr:row>
          <xdr:rowOff>0</xdr:rowOff>
        </xdr:to>
        <xdr:sp macro="" textlink="">
          <xdr:nvSpPr>
            <xdr:cNvPr id="1067" name="CommandButton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20</xdr:row>
          <xdr:rowOff>0</xdr:rowOff>
        </xdr:from>
        <xdr:to>
          <xdr:col>29</xdr:col>
          <xdr:colOff>57150</xdr:colOff>
          <xdr:row>22</xdr:row>
          <xdr:rowOff>0</xdr:rowOff>
        </xdr:to>
        <xdr:sp macro="" textlink="">
          <xdr:nvSpPr>
            <xdr:cNvPr id="1068" name="CommandButton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59</xdr:col>
      <xdr:colOff>263769</xdr:colOff>
      <xdr:row>8</xdr:row>
      <xdr:rowOff>136770</xdr:rowOff>
    </xdr:from>
    <xdr:to>
      <xdr:col>60</xdr:col>
      <xdr:colOff>363877</xdr:colOff>
      <xdr:row>12</xdr:row>
      <xdr:rowOff>92739</xdr:rowOff>
    </xdr:to>
    <xdr:sp macro="" textlink="">
      <xdr:nvSpPr>
        <xdr:cNvPr id="7" name="正方形/長方形 6">
          <a:extLst>
            <a:ext uri="{FF2B5EF4-FFF2-40B4-BE49-F238E27FC236}">
              <a16:creationId xmlns:a16="http://schemas.microsoft.com/office/drawing/2014/main" id="{C5E88454-2964-4D1E-97BE-724E13FC6123}"/>
            </a:ext>
          </a:extLst>
        </xdr:cNvPr>
        <xdr:cNvSpPr/>
      </xdr:nvSpPr>
      <xdr:spPr>
        <a:xfrm>
          <a:off x="6731000" y="1387232"/>
          <a:ext cx="764415" cy="581199"/>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60</xdr:col>
      <xdr:colOff>576383</xdr:colOff>
      <xdr:row>8</xdr:row>
      <xdr:rowOff>136768</xdr:rowOff>
    </xdr:from>
    <xdr:to>
      <xdr:col>62</xdr:col>
      <xdr:colOff>21620</xdr:colOff>
      <xdr:row>12</xdr:row>
      <xdr:rowOff>90870</xdr:rowOff>
    </xdr:to>
    <xdr:sp macro="" textlink="">
      <xdr:nvSpPr>
        <xdr:cNvPr id="8" name="正方形/長方形 7">
          <a:extLst>
            <a:ext uri="{FF2B5EF4-FFF2-40B4-BE49-F238E27FC236}">
              <a16:creationId xmlns:a16="http://schemas.microsoft.com/office/drawing/2014/main" id="{D1BE390B-EFB5-4184-8BFA-7C4520E0EC17}"/>
            </a:ext>
          </a:extLst>
        </xdr:cNvPr>
        <xdr:cNvSpPr/>
      </xdr:nvSpPr>
      <xdr:spPr>
        <a:xfrm>
          <a:off x="7707921" y="1387230"/>
          <a:ext cx="773853" cy="579332"/>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410307</xdr:colOff>
      <xdr:row>44</xdr:row>
      <xdr:rowOff>97690</xdr:rowOff>
    </xdr:from>
    <xdr:to>
      <xdr:col>60</xdr:col>
      <xdr:colOff>510415</xdr:colOff>
      <xdr:row>48</xdr:row>
      <xdr:rowOff>40913</xdr:rowOff>
    </xdr:to>
    <xdr:sp macro="" textlink="">
      <xdr:nvSpPr>
        <xdr:cNvPr id="9" name="正方形/長方形 8">
          <a:extLst>
            <a:ext uri="{FF2B5EF4-FFF2-40B4-BE49-F238E27FC236}">
              <a16:creationId xmlns:a16="http://schemas.microsoft.com/office/drawing/2014/main" id="{B9633FA1-64A4-43AF-B9C2-739F2B24F8E6}"/>
            </a:ext>
          </a:extLst>
        </xdr:cNvPr>
        <xdr:cNvSpPr/>
      </xdr:nvSpPr>
      <xdr:spPr>
        <a:xfrm>
          <a:off x="6877538" y="7004536"/>
          <a:ext cx="764415" cy="597762"/>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87923</xdr:colOff>
      <xdr:row>44</xdr:row>
      <xdr:rowOff>78153</xdr:rowOff>
    </xdr:from>
    <xdr:to>
      <xdr:col>62</xdr:col>
      <xdr:colOff>188029</xdr:colOff>
      <xdr:row>48</xdr:row>
      <xdr:rowOff>21376</xdr:rowOff>
    </xdr:to>
    <xdr:sp macro="" textlink="">
      <xdr:nvSpPr>
        <xdr:cNvPr id="10" name="正方形/長方形 9">
          <a:extLst>
            <a:ext uri="{FF2B5EF4-FFF2-40B4-BE49-F238E27FC236}">
              <a16:creationId xmlns:a16="http://schemas.microsoft.com/office/drawing/2014/main" id="{488D052D-F1F5-4363-A5BC-792DA5E2CAD5}"/>
            </a:ext>
          </a:extLst>
        </xdr:cNvPr>
        <xdr:cNvSpPr/>
      </xdr:nvSpPr>
      <xdr:spPr>
        <a:xfrm>
          <a:off x="7883769" y="6984999"/>
          <a:ext cx="764414" cy="597762"/>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429846</xdr:colOff>
      <xdr:row>49</xdr:row>
      <xdr:rowOff>97692</xdr:rowOff>
    </xdr:from>
    <xdr:to>
      <xdr:col>60</xdr:col>
      <xdr:colOff>529954</xdr:colOff>
      <xdr:row>53</xdr:row>
      <xdr:rowOff>94704</xdr:rowOff>
    </xdr:to>
    <xdr:sp macro="" textlink="">
      <xdr:nvSpPr>
        <xdr:cNvPr id="11" name="正方形/長方形 10">
          <a:extLst>
            <a:ext uri="{FF2B5EF4-FFF2-40B4-BE49-F238E27FC236}">
              <a16:creationId xmlns:a16="http://schemas.microsoft.com/office/drawing/2014/main" id="{98B46D05-5847-492B-ADED-2E34B93B0237}"/>
            </a:ext>
          </a:extLst>
        </xdr:cNvPr>
        <xdr:cNvSpPr/>
      </xdr:nvSpPr>
      <xdr:spPr>
        <a:xfrm>
          <a:off x="6897077" y="7815384"/>
          <a:ext cx="764415" cy="622243"/>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78154</xdr:colOff>
      <xdr:row>49</xdr:row>
      <xdr:rowOff>87925</xdr:rowOff>
    </xdr:from>
    <xdr:to>
      <xdr:col>62</xdr:col>
      <xdr:colOff>178260</xdr:colOff>
      <xdr:row>53</xdr:row>
      <xdr:rowOff>84937</xdr:rowOff>
    </xdr:to>
    <xdr:sp macro="" textlink="">
      <xdr:nvSpPr>
        <xdr:cNvPr id="12" name="正方形/長方形 11">
          <a:extLst>
            <a:ext uri="{FF2B5EF4-FFF2-40B4-BE49-F238E27FC236}">
              <a16:creationId xmlns:a16="http://schemas.microsoft.com/office/drawing/2014/main" id="{E0A97A9B-84DD-423A-B6C5-31BC151B55E5}"/>
            </a:ext>
          </a:extLst>
        </xdr:cNvPr>
        <xdr:cNvSpPr/>
      </xdr:nvSpPr>
      <xdr:spPr>
        <a:xfrm>
          <a:off x="7874000" y="7805617"/>
          <a:ext cx="764414" cy="622243"/>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285751</xdr:colOff>
      <xdr:row>8</xdr:row>
      <xdr:rowOff>19050</xdr:rowOff>
    </xdr:from>
    <xdr:to>
      <xdr:col>8</xdr:col>
      <xdr:colOff>19051</xdr:colOff>
      <xdr:row>12</xdr:row>
      <xdr:rowOff>0</xdr:rowOff>
    </xdr:to>
    <xdr:sp macro="" textlink="">
      <xdr:nvSpPr>
        <xdr:cNvPr id="2" name="矢印: 上下 1">
          <a:extLst>
            <a:ext uri="{FF2B5EF4-FFF2-40B4-BE49-F238E27FC236}">
              <a16:creationId xmlns:a16="http://schemas.microsoft.com/office/drawing/2014/main" id="{906ACCD1-6386-A582-05E4-C8BA3DA2AE0C}"/>
            </a:ext>
          </a:extLst>
        </xdr:cNvPr>
        <xdr:cNvSpPr/>
      </xdr:nvSpPr>
      <xdr:spPr>
        <a:xfrm>
          <a:off x="4514851" y="2200275"/>
          <a:ext cx="419100" cy="1209675"/>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9523</xdr:colOff>
      <xdr:row>12</xdr:row>
      <xdr:rowOff>142875</xdr:rowOff>
    </xdr:from>
    <xdr:to>
      <xdr:col>6</xdr:col>
      <xdr:colOff>542924</xdr:colOff>
      <xdr:row>14</xdr:row>
      <xdr:rowOff>114300</xdr:rowOff>
    </xdr:to>
    <xdr:sp macro="" textlink="">
      <xdr:nvSpPr>
        <xdr:cNvPr id="3" name="矢印: 上下 2">
          <a:extLst>
            <a:ext uri="{FF2B5EF4-FFF2-40B4-BE49-F238E27FC236}">
              <a16:creationId xmlns:a16="http://schemas.microsoft.com/office/drawing/2014/main" id="{64908D59-278E-4DDF-B27E-A4F273DAD9B5}"/>
            </a:ext>
          </a:extLst>
        </xdr:cNvPr>
        <xdr:cNvSpPr/>
      </xdr:nvSpPr>
      <xdr:spPr>
        <a:xfrm rot="5400000">
          <a:off x="2924173" y="2695575"/>
          <a:ext cx="447675" cy="2162176"/>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295275</xdr:colOff>
      <xdr:row>8</xdr:row>
      <xdr:rowOff>38100</xdr:rowOff>
    </xdr:from>
    <xdr:to>
      <xdr:col>24</xdr:col>
      <xdr:colOff>28575</xdr:colOff>
      <xdr:row>12</xdr:row>
      <xdr:rowOff>19050</xdr:rowOff>
    </xdr:to>
    <xdr:sp macro="" textlink="">
      <xdr:nvSpPr>
        <xdr:cNvPr id="4" name="矢印: 上下 3">
          <a:extLst>
            <a:ext uri="{FF2B5EF4-FFF2-40B4-BE49-F238E27FC236}">
              <a16:creationId xmlns:a16="http://schemas.microsoft.com/office/drawing/2014/main" id="{E5163EBF-4FE9-41A3-9A8B-FC689488681E}"/>
            </a:ext>
          </a:extLst>
        </xdr:cNvPr>
        <xdr:cNvSpPr/>
      </xdr:nvSpPr>
      <xdr:spPr>
        <a:xfrm>
          <a:off x="14935200" y="2219325"/>
          <a:ext cx="419100" cy="1209675"/>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28575</xdr:colOff>
      <xdr:row>12</xdr:row>
      <xdr:rowOff>114302</xdr:rowOff>
    </xdr:from>
    <xdr:to>
      <xdr:col>22</xdr:col>
      <xdr:colOff>666753</xdr:colOff>
      <xdr:row>14</xdr:row>
      <xdr:rowOff>85727</xdr:rowOff>
    </xdr:to>
    <xdr:sp macro="" textlink="">
      <xdr:nvSpPr>
        <xdr:cNvPr id="6" name="矢印: 上下 5">
          <a:extLst>
            <a:ext uri="{FF2B5EF4-FFF2-40B4-BE49-F238E27FC236}">
              <a16:creationId xmlns:a16="http://schemas.microsoft.com/office/drawing/2014/main" id="{E50E2D27-91D8-4FC4-A8FC-A00FCAB17F6E}"/>
            </a:ext>
          </a:extLst>
        </xdr:cNvPr>
        <xdr:cNvSpPr/>
      </xdr:nvSpPr>
      <xdr:spPr>
        <a:xfrm rot="5400000">
          <a:off x="11677651" y="1028701"/>
          <a:ext cx="447675" cy="5438778"/>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256400</xdr:colOff>
      <xdr:row>19</xdr:row>
      <xdr:rowOff>170886</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6200000" cy="45142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76200</xdr:colOff>
      <xdr:row>8</xdr:row>
      <xdr:rowOff>0</xdr:rowOff>
    </xdr:from>
    <xdr:to>
      <xdr:col>4</xdr:col>
      <xdr:colOff>374367</xdr:colOff>
      <xdr:row>9</xdr:row>
      <xdr:rowOff>88861</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733425" y="1828800"/>
          <a:ext cx="2269842" cy="317461"/>
        </a:xfrm>
        <a:prstGeom prst="rect">
          <a:avLst/>
        </a:prstGeom>
      </xdr:spPr>
    </xdr:pic>
    <xdr:clientData/>
  </xdr:twoCellAnchor>
  <xdr:twoCellAnchor editAs="oneCell">
    <xdr:from>
      <xdr:col>1</xdr:col>
      <xdr:colOff>57150</xdr:colOff>
      <xdr:row>9</xdr:row>
      <xdr:rowOff>47625</xdr:rowOff>
    </xdr:from>
    <xdr:to>
      <xdr:col>7</xdr:col>
      <xdr:colOff>9038</xdr:colOff>
      <xdr:row>11</xdr:row>
      <xdr:rowOff>142806</xdr:rowOff>
    </xdr:to>
    <xdr:pic>
      <xdr:nvPicPr>
        <xdr:cNvPr id="3" name="図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714375" y="2101850"/>
          <a:ext cx="3895238" cy="555556"/>
        </a:xfrm>
        <a:prstGeom prst="rect">
          <a:avLst/>
        </a:prstGeom>
      </xdr:spPr>
    </xdr:pic>
    <xdr:clientData/>
  </xdr:twoCellAnchor>
  <xdr:twoCellAnchor editAs="oneCell">
    <xdr:from>
      <xdr:col>1</xdr:col>
      <xdr:colOff>47625</xdr:colOff>
      <xdr:row>11</xdr:row>
      <xdr:rowOff>130175</xdr:rowOff>
    </xdr:from>
    <xdr:to>
      <xdr:col>7</xdr:col>
      <xdr:colOff>151894</xdr:colOff>
      <xdr:row>12</xdr:row>
      <xdr:rowOff>222211</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701675" y="2644775"/>
          <a:ext cx="4050794" cy="320636"/>
        </a:xfrm>
        <a:prstGeom prst="rect">
          <a:avLst/>
        </a:prstGeom>
      </xdr:spPr>
    </xdr:pic>
    <xdr:clientData/>
  </xdr:twoCellAnchor>
  <xdr:twoCellAnchor editAs="oneCell">
    <xdr:from>
      <xdr:col>1</xdr:col>
      <xdr:colOff>53975</xdr:colOff>
      <xdr:row>12</xdr:row>
      <xdr:rowOff>209550</xdr:rowOff>
    </xdr:from>
    <xdr:to>
      <xdr:col>6</xdr:col>
      <xdr:colOff>266263</xdr:colOff>
      <xdr:row>26</xdr:row>
      <xdr:rowOff>94864</xdr:rowOff>
    </xdr:to>
    <xdr:pic>
      <xdr:nvPicPr>
        <xdr:cNvPr id="5" name="図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a:stretch>
          <a:fillRect/>
        </a:stretch>
      </xdr:blipFill>
      <xdr:spPr>
        <a:xfrm>
          <a:off x="711200" y="2952750"/>
          <a:ext cx="3498413" cy="3085714"/>
        </a:xfrm>
        <a:prstGeom prst="rect">
          <a:avLst/>
        </a:prstGeom>
      </xdr:spPr>
    </xdr:pic>
    <xdr:clientData/>
  </xdr:twoCellAnchor>
  <xdr:twoCellAnchor editAs="oneCell">
    <xdr:from>
      <xdr:col>1</xdr:col>
      <xdr:colOff>57150</xdr:colOff>
      <xdr:row>26</xdr:row>
      <xdr:rowOff>66675</xdr:rowOff>
    </xdr:from>
    <xdr:to>
      <xdr:col>6</xdr:col>
      <xdr:colOff>418644</xdr:colOff>
      <xdr:row>30</xdr:row>
      <xdr:rowOff>3069</xdr:rowOff>
    </xdr:to>
    <xdr:pic>
      <xdr:nvPicPr>
        <xdr:cNvPr id="6" name="図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a:stretch>
          <a:fillRect/>
        </a:stretch>
      </xdr:blipFill>
      <xdr:spPr>
        <a:xfrm>
          <a:off x="714375" y="6007100"/>
          <a:ext cx="3647619" cy="853969"/>
        </a:xfrm>
        <a:prstGeom prst="rect">
          <a:avLst/>
        </a:prstGeom>
      </xdr:spPr>
    </xdr:pic>
    <xdr:clientData/>
  </xdr:twoCellAnchor>
  <xdr:twoCellAnchor editAs="oneCell">
    <xdr:from>
      <xdr:col>1</xdr:col>
      <xdr:colOff>38100</xdr:colOff>
      <xdr:row>30</xdr:row>
      <xdr:rowOff>19050</xdr:rowOff>
    </xdr:from>
    <xdr:to>
      <xdr:col>6</xdr:col>
      <xdr:colOff>190070</xdr:colOff>
      <xdr:row>31</xdr:row>
      <xdr:rowOff>107911</xdr:rowOff>
    </xdr:to>
    <xdr:pic>
      <xdr:nvPicPr>
        <xdr:cNvPr id="7" name="図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a:stretch>
          <a:fillRect/>
        </a:stretch>
      </xdr:blipFill>
      <xdr:spPr>
        <a:xfrm>
          <a:off x="695325" y="6877050"/>
          <a:ext cx="3438095" cy="317461"/>
        </a:xfrm>
        <a:prstGeom prst="rect">
          <a:avLst/>
        </a:prstGeom>
      </xdr:spPr>
    </xdr:pic>
    <xdr:clientData/>
  </xdr:twoCellAnchor>
  <xdr:twoCellAnchor editAs="oneCell">
    <xdr:from>
      <xdr:col>1</xdr:col>
      <xdr:colOff>28575</xdr:colOff>
      <xdr:row>31</xdr:row>
      <xdr:rowOff>104775</xdr:rowOff>
    </xdr:from>
    <xdr:to>
      <xdr:col>6</xdr:col>
      <xdr:colOff>447212</xdr:colOff>
      <xdr:row>32</xdr:row>
      <xdr:rowOff>212683</xdr:rowOff>
    </xdr:to>
    <xdr:pic>
      <xdr:nvPicPr>
        <xdr:cNvPr id="8" name="図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a:stretch>
          <a:fillRect/>
        </a:stretch>
      </xdr:blipFill>
      <xdr:spPr>
        <a:xfrm>
          <a:off x="682625" y="7188200"/>
          <a:ext cx="3707937" cy="339683"/>
        </a:xfrm>
        <a:prstGeom prst="rect">
          <a:avLst/>
        </a:prstGeom>
      </xdr:spPr>
    </xdr:pic>
    <xdr:clientData/>
  </xdr:twoCellAnchor>
  <xdr:twoCellAnchor editAs="oneCell">
    <xdr:from>
      <xdr:col>1</xdr:col>
      <xdr:colOff>19050</xdr:colOff>
      <xdr:row>32</xdr:row>
      <xdr:rowOff>152400</xdr:rowOff>
    </xdr:from>
    <xdr:to>
      <xdr:col>6</xdr:col>
      <xdr:colOff>488481</xdr:colOff>
      <xdr:row>34</xdr:row>
      <xdr:rowOff>31708</xdr:rowOff>
    </xdr:to>
    <xdr:pic>
      <xdr:nvPicPr>
        <xdr:cNvPr id="9" name="図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676275" y="7467600"/>
          <a:ext cx="3755556" cy="336508"/>
        </a:xfrm>
        <a:prstGeom prst="rect">
          <a:avLst/>
        </a:prstGeom>
      </xdr:spPr>
    </xdr:pic>
    <xdr:clientData/>
  </xdr:twoCellAnchor>
  <xdr:twoCellAnchor editAs="oneCell">
    <xdr:from>
      <xdr:col>1</xdr:col>
      <xdr:colOff>9525</xdr:colOff>
      <xdr:row>33</xdr:row>
      <xdr:rowOff>200025</xdr:rowOff>
    </xdr:from>
    <xdr:to>
      <xdr:col>6</xdr:col>
      <xdr:colOff>345623</xdr:colOff>
      <xdr:row>35</xdr:row>
      <xdr:rowOff>104730</xdr:rowOff>
    </xdr:to>
    <xdr:pic>
      <xdr:nvPicPr>
        <xdr:cNvPr id="10" name="図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9"/>
        <a:stretch>
          <a:fillRect/>
        </a:stretch>
      </xdr:blipFill>
      <xdr:spPr>
        <a:xfrm>
          <a:off x="663575" y="7740650"/>
          <a:ext cx="3625398" cy="365080"/>
        </a:xfrm>
        <a:prstGeom prst="rect">
          <a:avLst/>
        </a:prstGeom>
      </xdr:spPr>
    </xdr:pic>
    <xdr:clientData/>
  </xdr:twoCellAnchor>
  <xdr:twoCellAnchor editAs="oneCell">
    <xdr:from>
      <xdr:col>1</xdr:col>
      <xdr:colOff>47625</xdr:colOff>
      <xdr:row>35</xdr:row>
      <xdr:rowOff>66675</xdr:rowOff>
    </xdr:from>
    <xdr:to>
      <xdr:col>6</xdr:col>
      <xdr:colOff>313881</xdr:colOff>
      <xdr:row>36</xdr:row>
      <xdr:rowOff>174583</xdr:rowOff>
    </xdr:to>
    <xdr:pic>
      <xdr:nvPicPr>
        <xdr:cNvPr id="11" name="図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10"/>
        <a:stretch>
          <a:fillRect/>
        </a:stretch>
      </xdr:blipFill>
      <xdr:spPr>
        <a:xfrm>
          <a:off x="701675" y="8064500"/>
          <a:ext cx="3555556" cy="339683"/>
        </a:xfrm>
        <a:prstGeom prst="rect">
          <a:avLst/>
        </a:prstGeom>
      </xdr:spPr>
    </xdr:pic>
    <xdr:clientData/>
  </xdr:twoCellAnchor>
  <xdr:twoCellAnchor editAs="oneCell">
    <xdr:from>
      <xdr:col>0</xdr:col>
      <xdr:colOff>647700</xdr:colOff>
      <xdr:row>36</xdr:row>
      <xdr:rowOff>123825</xdr:rowOff>
    </xdr:from>
    <xdr:to>
      <xdr:col>5</xdr:col>
      <xdr:colOff>237765</xdr:colOff>
      <xdr:row>37</xdr:row>
      <xdr:rowOff>199987</xdr:rowOff>
    </xdr:to>
    <xdr:pic>
      <xdr:nvPicPr>
        <xdr:cNvPr id="12" name="図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11"/>
        <a:stretch>
          <a:fillRect/>
        </a:stretch>
      </xdr:blipFill>
      <xdr:spPr>
        <a:xfrm>
          <a:off x="647700" y="8350250"/>
          <a:ext cx="2876190" cy="307937"/>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FF9D1-78A5-4C40-99E1-46763792AE86}">
  <sheetPr codeName="Sheet1"/>
  <dimension ref="A1:JP104"/>
  <sheetViews>
    <sheetView tabSelected="1" view="pageBreakPreview" zoomScaleNormal="100" zoomScaleSheetLayoutView="100" workbookViewId="0"/>
  </sheetViews>
  <sheetFormatPr defaultRowHeight="18.75"/>
  <cols>
    <col min="1" max="46" width="1.375" customWidth="1"/>
    <col min="47" max="59" width="1.5" customWidth="1"/>
    <col min="62" max="68" width="8.625" style="28"/>
    <col min="69" max="69" width="17.375" style="28" customWidth="1"/>
  </cols>
  <sheetData>
    <row r="1" spans="2:69" ht="12.6" customHeight="1" thickBot="1">
      <c r="BL1" s="28" t="s">
        <v>28</v>
      </c>
      <c r="BO1" s="28" t="s">
        <v>28</v>
      </c>
      <c r="BQ1" s="28" t="s">
        <v>29</v>
      </c>
    </row>
    <row r="2" spans="2:69" ht="12.6" customHeight="1">
      <c r="B2" s="212" t="s">
        <v>0</v>
      </c>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3"/>
      <c r="AJ2" s="214"/>
      <c r="AK2" s="214"/>
      <c r="AL2" s="244" t="s">
        <v>205</v>
      </c>
      <c r="AM2" s="245"/>
      <c r="AN2" s="245"/>
      <c r="AO2" s="246"/>
      <c r="AQ2" s="215" t="s">
        <v>194</v>
      </c>
      <c r="AR2" s="216"/>
      <c r="AS2" s="216"/>
      <c r="AT2" s="217"/>
      <c r="AU2" s="221" t="s">
        <v>227</v>
      </c>
      <c r="AV2" s="222"/>
      <c r="AW2" s="222"/>
      <c r="AX2" s="222"/>
      <c r="AY2" s="222"/>
      <c r="AZ2" s="222"/>
      <c r="BA2" s="222"/>
      <c r="BB2" s="222"/>
      <c r="BC2" s="222"/>
      <c r="BD2" s="222"/>
      <c r="BE2" s="223"/>
      <c r="BQ2" s="28" t="s">
        <v>27</v>
      </c>
    </row>
    <row r="3" spans="2:69" ht="12.6" customHeight="1" thickBot="1">
      <c r="B3" s="213"/>
      <c r="C3" s="213"/>
      <c r="D3" s="213"/>
      <c r="E3" s="213"/>
      <c r="F3" s="213"/>
      <c r="G3" s="213"/>
      <c r="H3" s="213"/>
      <c r="I3" s="213"/>
      <c r="J3" s="213"/>
      <c r="K3" s="213"/>
      <c r="L3" s="213"/>
      <c r="M3" s="213"/>
      <c r="N3" s="213"/>
      <c r="O3" s="213"/>
      <c r="P3" s="213"/>
      <c r="Q3" s="213"/>
      <c r="R3" s="213"/>
      <c r="S3" s="213"/>
      <c r="T3" s="213"/>
      <c r="U3" s="213"/>
      <c r="V3" s="213"/>
      <c r="W3" s="213"/>
      <c r="X3" s="213"/>
      <c r="Y3" s="213"/>
      <c r="Z3" s="213"/>
      <c r="AA3" s="213"/>
      <c r="AB3" s="213"/>
      <c r="AC3" s="213"/>
      <c r="AD3" s="213"/>
      <c r="AE3" s="213"/>
      <c r="AF3" s="213"/>
      <c r="AG3" s="213"/>
      <c r="AH3" s="213"/>
      <c r="AI3" s="213"/>
      <c r="AJ3" s="214"/>
      <c r="AK3" s="214"/>
      <c r="AL3" s="247"/>
      <c r="AM3" s="248"/>
      <c r="AN3" s="248"/>
      <c r="AO3" s="249"/>
      <c r="AQ3" s="218"/>
      <c r="AR3" s="219"/>
      <c r="AS3" s="219"/>
      <c r="AT3" s="220"/>
      <c r="AU3" s="224"/>
      <c r="AV3" s="225"/>
      <c r="AW3" s="225"/>
      <c r="AX3" s="225"/>
      <c r="AY3" s="225"/>
      <c r="AZ3" s="225"/>
      <c r="BA3" s="225"/>
      <c r="BB3" s="225"/>
      <c r="BC3" s="225"/>
      <c r="BD3" s="225"/>
      <c r="BE3" s="226"/>
      <c r="BQ3" s="29" t="s">
        <v>187</v>
      </c>
    </row>
    <row r="4" spans="2:69" ht="12.6" customHeight="1" thickBot="1">
      <c r="B4" s="213"/>
      <c r="C4" s="213"/>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4"/>
      <c r="AK4" s="214"/>
      <c r="AL4" s="250"/>
      <c r="AM4" s="251"/>
      <c r="AN4" s="251"/>
      <c r="AO4" s="252"/>
      <c r="AQ4" s="215" t="s">
        <v>195</v>
      </c>
      <c r="AR4" s="216"/>
      <c r="AS4" s="216"/>
      <c r="AT4" s="217"/>
      <c r="AU4" s="233" t="s">
        <v>224</v>
      </c>
      <c r="AV4" s="234"/>
      <c r="AW4" s="234"/>
      <c r="AX4" s="234"/>
      <c r="AY4" s="234"/>
      <c r="AZ4" s="234"/>
      <c r="BA4" s="234"/>
      <c r="BB4" s="234"/>
      <c r="BC4" s="234"/>
      <c r="BD4" s="234"/>
      <c r="BE4" s="235"/>
      <c r="BL4" s="29"/>
      <c r="BO4" s="30"/>
      <c r="BQ4" s="29" t="s">
        <v>179</v>
      </c>
    </row>
    <row r="5" spans="2:69" ht="12.6" customHeight="1" thickBot="1">
      <c r="E5" s="214" t="s">
        <v>26</v>
      </c>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53"/>
      <c r="AM5" s="254"/>
      <c r="AN5" s="254"/>
      <c r="AO5" s="255"/>
      <c r="AQ5" s="218"/>
      <c r="AR5" s="219"/>
      <c r="AS5" s="219"/>
      <c r="AT5" s="220"/>
      <c r="AU5" s="236"/>
      <c r="AV5" s="237"/>
      <c r="AW5" s="237"/>
      <c r="AX5" s="237"/>
      <c r="AY5" s="237"/>
      <c r="AZ5" s="237"/>
      <c r="BA5" s="237"/>
      <c r="BB5" s="237"/>
      <c r="BC5" s="237"/>
      <c r="BD5" s="237"/>
      <c r="BE5" s="238"/>
      <c r="BL5" s="29" t="s">
        <v>18</v>
      </c>
      <c r="BO5" s="28" t="s">
        <v>23</v>
      </c>
      <c r="BQ5" s="29" t="s">
        <v>180</v>
      </c>
    </row>
    <row r="6" spans="2:69" ht="12.6" customHeight="1" thickBot="1">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c r="AI6" s="214"/>
      <c r="AJ6" s="214"/>
      <c r="AK6" s="214"/>
      <c r="BL6" s="29" t="s">
        <v>19</v>
      </c>
      <c r="BO6" s="28" t="s">
        <v>25</v>
      </c>
      <c r="BQ6" s="29" t="s">
        <v>181</v>
      </c>
    </row>
    <row r="7" spans="2:69" ht="12.6" customHeight="1">
      <c r="E7" s="215" t="s">
        <v>21</v>
      </c>
      <c r="F7" s="216"/>
      <c r="G7" s="216"/>
      <c r="H7" s="216"/>
      <c r="I7" s="216"/>
      <c r="J7" s="216"/>
      <c r="K7" s="216"/>
      <c r="L7" s="216"/>
      <c r="M7" s="217"/>
      <c r="N7" s="41">
        <v>1</v>
      </c>
      <c r="O7" s="215" t="str">
        <f>IF(OR(N7=2,N7=3,N7=4,N7=5),"選択済","未選択")</f>
        <v>未選択</v>
      </c>
      <c r="P7" s="216"/>
      <c r="Q7" s="216"/>
      <c r="R7" s="216"/>
      <c r="S7" s="216"/>
      <c r="T7" s="216"/>
      <c r="U7" s="217"/>
      <c r="W7" s="215" t="s">
        <v>22</v>
      </c>
      <c r="X7" s="216"/>
      <c r="Y7" s="216"/>
      <c r="Z7" s="216"/>
      <c r="AA7" s="216"/>
      <c r="AB7" s="216"/>
      <c r="AC7" s="216"/>
      <c r="AD7" s="216"/>
      <c r="AE7" s="217"/>
      <c r="AF7" s="42">
        <v>1</v>
      </c>
      <c r="AG7" s="215" t="str">
        <f>IF(OR(AF7=2,AF7=3),"選択済","未選択")</f>
        <v>未選択</v>
      </c>
      <c r="AH7" s="216"/>
      <c r="AI7" s="216"/>
      <c r="AJ7" s="216"/>
      <c r="AK7" s="216"/>
      <c r="AL7" s="216"/>
      <c r="AM7" s="217"/>
      <c r="AN7" s="10"/>
      <c r="AO7" s="10"/>
      <c r="AP7" s="215" t="s">
        <v>1</v>
      </c>
      <c r="AQ7" s="216"/>
      <c r="AR7" s="216"/>
      <c r="AS7" s="216"/>
      <c r="AT7" s="216"/>
      <c r="AU7" s="216"/>
      <c r="AV7" s="216"/>
      <c r="AW7" s="217"/>
      <c r="AX7" s="215" t="s">
        <v>2</v>
      </c>
      <c r="AY7" s="216"/>
      <c r="AZ7" s="216"/>
      <c r="BA7" s="216"/>
      <c r="BB7" s="216"/>
      <c r="BC7" s="216"/>
      <c r="BD7" s="216"/>
      <c r="BE7" s="217"/>
      <c r="BJ7" s="28" t="s">
        <v>76</v>
      </c>
      <c r="BK7" s="28" t="s">
        <v>77</v>
      </c>
      <c r="BL7" s="29" t="s">
        <v>74</v>
      </c>
      <c r="BO7" s="28" t="s">
        <v>78</v>
      </c>
      <c r="BQ7" s="29" t="s">
        <v>104</v>
      </c>
    </row>
    <row r="8" spans="2:69" ht="12.6" customHeight="1" thickBot="1">
      <c r="E8" s="218"/>
      <c r="F8" s="219"/>
      <c r="G8" s="219"/>
      <c r="H8" s="219"/>
      <c r="I8" s="219"/>
      <c r="J8" s="219"/>
      <c r="K8" s="219"/>
      <c r="L8" s="219"/>
      <c r="M8" s="220"/>
      <c r="N8" s="10"/>
      <c r="O8" s="218"/>
      <c r="P8" s="219"/>
      <c r="Q8" s="219"/>
      <c r="R8" s="219"/>
      <c r="S8" s="219"/>
      <c r="T8" s="219"/>
      <c r="U8" s="220"/>
      <c r="W8" s="218"/>
      <c r="X8" s="219"/>
      <c r="Y8" s="219"/>
      <c r="Z8" s="219"/>
      <c r="AA8" s="219"/>
      <c r="AB8" s="219"/>
      <c r="AC8" s="219"/>
      <c r="AD8" s="219"/>
      <c r="AE8" s="220"/>
      <c r="AG8" s="218"/>
      <c r="AH8" s="219"/>
      <c r="AI8" s="219"/>
      <c r="AJ8" s="219"/>
      <c r="AK8" s="219"/>
      <c r="AL8" s="219"/>
      <c r="AM8" s="220"/>
      <c r="AN8" s="10"/>
      <c r="AO8" s="10"/>
      <c r="AP8" s="218"/>
      <c r="AQ8" s="219"/>
      <c r="AR8" s="219"/>
      <c r="AS8" s="219"/>
      <c r="AT8" s="219"/>
      <c r="AU8" s="219"/>
      <c r="AV8" s="219"/>
      <c r="AW8" s="220"/>
      <c r="AX8" s="218"/>
      <c r="AY8" s="219"/>
      <c r="AZ8" s="219"/>
      <c r="BA8" s="219"/>
      <c r="BB8" s="219"/>
      <c r="BC8" s="219"/>
      <c r="BD8" s="219"/>
      <c r="BE8" s="220"/>
      <c r="BJ8" s="28" t="s">
        <v>76</v>
      </c>
      <c r="BK8" s="28" t="s">
        <v>77</v>
      </c>
      <c r="BL8" s="29" t="s">
        <v>75</v>
      </c>
      <c r="BO8" s="28" t="s">
        <v>24</v>
      </c>
      <c r="BQ8" s="29" t="s">
        <v>105</v>
      </c>
    </row>
    <row r="9" spans="2:69" ht="12.6" customHeight="1">
      <c r="C9" s="3"/>
      <c r="D9" s="3"/>
      <c r="E9" s="11"/>
      <c r="F9" s="3"/>
      <c r="G9" s="3"/>
      <c r="H9" s="3"/>
      <c r="I9" s="3"/>
      <c r="J9" s="3"/>
      <c r="K9" s="3"/>
      <c r="L9" s="3"/>
      <c r="M9" s="3"/>
      <c r="N9" s="3"/>
      <c r="O9" s="3"/>
      <c r="P9" s="3"/>
      <c r="Q9" s="3"/>
      <c r="R9" s="3"/>
      <c r="S9" s="3"/>
      <c r="T9" s="3"/>
      <c r="U9" s="12"/>
      <c r="V9" s="3"/>
      <c r="W9" s="11"/>
      <c r="X9" s="3"/>
      <c r="Y9" s="3"/>
      <c r="Z9" s="3"/>
      <c r="AA9" s="3"/>
      <c r="AB9" s="3"/>
      <c r="AC9" s="3"/>
      <c r="AD9" s="3"/>
      <c r="AE9" s="3"/>
      <c r="AF9" s="3"/>
      <c r="AG9" s="3"/>
      <c r="AH9" s="3"/>
      <c r="AI9" s="3"/>
      <c r="AJ9" s="3"/>
      <c r="AK9" s="3"/>
      <c r="AL9" s="3"/>
      <c r="AM9" s="12"/>
      <c r="AN9" s="3"/>
      <c r="AO9" s="3"/>
      <c r="AP9" s="309"/>
      <c r="AQ9" s="310"/>
      <c r="AR9" s="310"/>
      <c r="AS9" s="310"/>
      <c r="AT9" s="310"/>
      <c r="AU9" s="310"/>
      <c r="AV9" s="310"/>
      <c r="AW9" s="311"/>
      <c r="AX9" s="203"/>
      <c r="AY9" s="204"/>
      <c r="AZ9" s="204"/>
      <c r="BA9" s="204"/>
      <c r="BB9" s="204"/>
      <c r="BC9" s="204"/>
      <c r="BD9" s="204"/>
      <c r="BE9" s="205"/>
      <c r="BQ9" s="29" t="s">
        <v>106</v>
      </c>
    </row>
    <row r="10" spans="2:69" ht="12.6" customHeight="1" thickBot="1">
      <c r="C10" s="3"/>
      <c r="D10" s="3"/>
      <c r="E10" s="13"/>
      <c r="F10" s="14"/>
      <c r="G10" s="14"/>
      <c r="H10" s="14"/>
      <c r="I10" s="14"/>
      <c r="J10" s="14"/>
      <c r="K10" s="14"/>
      <c r="L10" s="14"/>
      <c r="M10" s="14"/>
      <c r="N10" s="14"/>
      <c r="O10" s="14"/>
      <c r="P10" s="14"/>
      <c r="Q10" s="14"/>
      <c r="R10" s="14"/>
      <c r="S10" s="14"/>
      <c r="T10" s="14"/>
      <c r="U10" s="15"/>
      <c r="V10" s="3"/>
      <c r="W10" s="11"/>
      <c r="X10" s="3"/>
      <c r="Y10" s="3"/>
      <c r="Z10" s="3"/>
      <c r="AA10" s="3"/>
      <c r="AB10" s="3"/>
      <c r="AC10" s="3"/>
      <c r="AD10" s="3"/>
      <c r="AE10" s="3"/>
      <c r="AF10" s="3"/>
      <c r="AG10" s="3"/>
      <c r="AH10" s="3"/>
      <c r="AI10" s="3"/>
      <c r="AJ10" s="3"/>
      <c r="AK10" s="3"/>
      <c r="AL10" s="3"/>
      <c r="AM10" s="12"/>
      <c r="AN10" s="3"/>
      <c r="AO10" s="3"/>
      <c r="AP10" s="312"/>
      <c r="AQ10" s="313"/>
      <c r="AR10" s="313"/>
      <c r="AS10" s="313"/>
      <c r="AT10" s="313"/>
      <c r="AU10" s="313"/>
      <c r="AV10" s="313"/>
      <c r="AW10" s="314"/>
      <c r="AX10" s="206"/>
      <c r="AY10" s="207"/>
      <c r="AZ10" s="207"/>
      <c r="BA10" s="207"/>
      <c r="BB10" s="207"/>
      <c r="BC10" s="207"/>
      <c r="BD10" s="207"/>
      <c r="BE10" s="208"/>
    </row>
    <row r="11" spans="2:69" ht="12.6" customHeight="1">
      <c r="C11" s="3"/>
      <c r="D11" s="3"/>
      <c r="E11" s="215" t="s">
        <v>196</v>
      </c>
      <c r="F11" s="239"/>
      <c r="G11" s="239"/>
      <c r="H11" s="239"/>
      <c r="I11" s="239"/>
      <c r="J11" s="239"/>
      <c r="K11" s="239"/>
      <c r="L11" s="239"/>
      <c r="M11" s="240"/>
      <c r="O11" s="215"/>
      <c r="P11" s="216"/>
      <c r="Q11" s="216"/>
      <c r="R11" s="216"/>
      <c r="S11" s="216"/>
      <c r="T11" s="216"/>
      <c r="U11" s="217"/>
      <c r="W11" s="227" t="s">
        <v>192</v>
      </c>
      <c r="X11" s="228"/>
      <c r="Y11" s="228"/>
      <c r="Z11" s="228"/>
      <c r="AA11" s="228"/>
      <c r="AB11" s="228"/>
      <c r="AC11" s="228"/>
      <c r="AD11" s="228"/>
      <c r="AE11" s="228"/>
      <c r="AF11" s="228"/>
      <c r="AG11" s="228"/>
      <c r="AH11" s="228"/>
      <c r="AI11" s="228"/>
      <c r="AJ11" s="228"/>
      <c r="AK11" s="228"/>
      <c r="AL11" s="228"/>
      <c r="AM11" s="229"/>
      <c r="AP11" s="312"/>
      <c r="AQ11" s="313"/>
      <c r="AR11" s="313"/>
      <c r="AS11" s="313"/>
      <c r="AT11" s="313"/>
      <c r="AU11" s="313"/>
      <c r="AV11" s="313"/>
      <c r="AW11" s="314"/>
      <c r="AX11" s="206"/>
      <c r="AY11" s="207"/>
      <c r="AZ11" s="207"/>
      <c r="BA11" s="207"/>
      <c r="BB11" s="207"/>
      <c r="BC11" s="207"/>
      <c r="BD11" s="207"/>
      <c r="BE11" s="208"/>
    </row>
    <row r="12" spans="2:69" ht="12.6" customHeight="1" thickBot="1">
      <c r="C12" s="3"/>
      <c r="D12" s="3"/>
      <c r="E12" s="241"/>
      <c r="F12" s="242"/>
      <c r="G12" s="242"/>
      <c r="H12" s="242"/>
      <c r="I12" s="242"/>
      <c r="J12" s="242"/>
      <c r="K12" s="242"/>
      <c r="L12" s="242"/>
      <c r="M12" s="243"/>
      <c r="O12" s="218"/>
      <c r="P12" s="219"/>
      <c r="Q12" s="219"/>
      <c r="R12" s="219"/>
      <c r="S12" s="219"/>
      <c r="T12" s="219"/>
      <c r="U12" s="220"/>
      <c r="W12" s="230"/>
      <c r="X12" s="231"/>
      <c r="Y12" s="231"/>
      <c r="Z12" s="231"/>
      <c r="AA12" s="231"/>
      <c r="AB12" s="231"/>
      <c r="AC12" s="231"/>
      <c r="AD12" s="231"/>
      <c r="AE12" s="231"/>
      <c r="AF12" s="231"/>
      <c r="AG12" s="231"/>
      <c r="AH12" s="231"/>
      <c r="AI12" s="231"/>
      <c r="AJ12" s="231"/>
      <c r="AK12" s="231"/>
      <c r="AL12" s="231"/>
      <c r="AM12" s="232"/>
      <c r="AP12" s="312"/>
      <c r="AQ12" s="313"/>
      <c r="AR12" s="313"/>
      <c r="AS12" s="313"/>
      <c r="AT12" s="313"/>
      <c r="AU12" s="313"/>
      <c r="AV12" s="313"/>
      <c r="AW12" s="314"/>
      <c r="AX12" s="206"/>
      <c r="AY12" s="207"/>
      <c r="AZ12" s="207"/>
      <c r="BA12" s="207"/>
      <c r="BB12" s="207"/>
      <c r="BC12" s="207"/>
      <c r="BD12" s="207"/>
      <c r="BE12" s="208"/>
    </row>
    <row r="13" spans="2:69" ht="13.5" customHeight="1" thickBot="1">
      <c r="C13" s="36"/>
      <c r="D13" s="36"/>
      <c r="E13" s="36"/>
      <c r="F13" s="36"/>
      <c r="G13" s="36"/>
      <c r="H13" s="36"/>
      <c r="I13" s="3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P13" s="315"/>
      <c r="AQ13" s="316"/>
      <c r="AR13" s="316"/>
      <c r="AS13" s="316"/>
      <c r="AT13" s="316"/>
      <c r="AU13" s="316"/>
      <c r="AV13" s="316"/>
      <c r="AW13" s="317"/>
      <c r="AX13" s="209"/>
      <c r="AY13" s="210"/>
      <c r="AZ13" s="210"/>
      <c r="BA13" s="210"/>
      <c r="BB13" s="210"/>
      <c r="BC13" s="210"/>
      <c r="BD13" s="210"/>
      <c r="BE13" s="211"/>
    </row>
    <row r="14" spans="2:69" ht="12.95" customHeight="1">
      <c r="C14" s="36"/>
      <c r="D14" s="36"/>
      <c r="E14" s="36"/>
      <c r="F14" s="36"/>
      <c r="G14" s="36"/>
      <c r="H14" s="36"/>
      <c r="I14" s="3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BI14" t="s">
        <v>189</v>
      </c>
    </row>
    <row r="15" spans="2:69" ht="12.6" customHeight="1">
      <c r="C15" s="146" t="s">
        <v>20</v>
      </c>
      <c r="D15" s="146"/>
      <c r="E15" s="146"/>
      <c r="F15" s="146"/>
      <c r="G15" s="146"/>
      <c r="H15" s="146"/>
      <c r="I15" s="146"/>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I15" t="s">
        <v>190</v>
      </c>
    </row>
    <row r="16" spans="2:69" ht="12.6" customHeight="1">
      <c r="C16" s="146"/>
      <c r="D16" s="146"/>
      <c r="E16" s="146"/>
      <c r="F16" s="146"/>
      <c r="G16" s="146"/>
      <c r="H16" s="146"/>
      <c r="I16" s="146"/>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row>
    <row r="17" spans="5:57" ht="12" customHeight="1">
      <c r="E17" s="166" t="s">
        <v>188</v>
      </c>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8"/>
    </row>
    <row r="18" spans="5:57" ht="15" customHeight="1">
      <c r="E18" s="169"/>
      <c r="F18" s="170"/>
      <c r="G18" s="170"/>
      <c r="H18" s="170"/>
      <c r="I18" s="170"/>
      <c r="J18" s="170"/>
      <c r="K18" s="170"/>
      <c r="L18" s="170"/>
      <c r="M18" s="170"/>
      <c r="N18" s="170"/>
      <c r="O18" s="170"/>
      <c r="P18" s="170"/>
      <c r="Q18" s="170"/>
      <c r="R18" s="170"/>
      <c r="S18" s="170"/>
      <c r="T18" s="170"/>
      <c r="U18" s="170"/>
      <c r="V18" s="170"/>
      <c r="W18" s="170"/>
      <c r="X18" s="170"/>
      <c r="Y18" s="170"/>
      <c r="Z18" s="170"/>
      <c r="AA18" s="170"/>
      <c r="AB18" s="170"/>
      <c r="AC18" s="170"/>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70"/>
      <c r="BD18" s="170"/>
      <c r="BE18" s="171"/>
    </row>
    <row r="19" spans="5:57" ht="12.6" customHeight="1">
      <c r="E19" s="169"/>
      <c r="F19" s="170"/>
      <c r="G19" s="170"/>
      <c r="H19" s="170"/>
      <c r="I19" s="170"/>
      <c r="J19" s="170"/>
      <c r="K19" s="170"/>
      <c r="L19" s="170"/>
      <c r="M19" s="170"/>
      <c r="N19" s="170"/>
      <c r="O19" s="170"/>
      <c r="P19" s="170"/>
      <c r="Q19" s="170"/>
      <c r="R19" s="170"/>
      <c r="S19" s="170"/>
      <c r="T19" s="170"/>
      <c r="U19" s="170"/>
      <c r="V19" s="170"/>
      <c r="W19" s="170"/>
      <c r="X19" s="170"/>
      <c r="Y19" s="170"/>
      <c r="Z19" s="170"/>
      <c r="AA19" s="170"/>
      <c r="AB19" s="170"/>
      <c r="AC19" s="170"/>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70"/>
      <c r="BD19" s="170"/>
      <c r="BE19" s="171"/>
    </row>
    <row r="20" spans="5:57" ht="12.6" customHeight="1">
      <c r="E20" s="172"/>
      <c r="F20" s="173"/>
      <c r="G20" s="173"/>
      <c r="H20" s="173"/>
      <c r="I20" s="173"/>
      <c r="J20" s="173"/>
      <c r="K20" s="173"/>
      <c r="L20" s="173"/>
      <c r="M20" s="173"/>
      <c r="N20" s="173"/>
      <c r="O20" s="173"/>
      <c r="P20" s="173"/>
      <c r="Q20" s="173"/>
      <c r="R20" s="173"/>
      <c r="S20" s="173"/>
      <c r="T20" s="173"/>
      <c r="U20" s="173"/>
      <c r="V20" s="173"/>
      <c r="W20" s="173"/>
      <c r="X20" s="173"/>
      <c r="Y20" s="173"/>
      <c r="Z20" s="173"/>
      <c r="AA20" s="173"/>
      <c r="AB20" s="173"/>
      <c r="AC20" s="173"/>
      <c r="AD20" s="173"/>
      <c r="AE20" s="173"/>
      <c r="AF20" s="173"/>
      <c r="AG20" s="173"/>
      <c r="AH20" s="173"/>
      <c r="AI20" s="173"/>
      <c r="AJ20" s="173"/>
      <c r="AK20" s="173"/>
      <c r="AL20" s="173"/>
      <c r="AM20" s="173"/>
      <c r="AN20" s="173"/>
      <c r="AO20" s="173"/>
      <c r="AP20" s="173"/>
      <c r="AQ20" s="173"/>
      <c r="AR20" s="173"/>
      <c r="AS20" s="173"/>
      <c r="AT20" s="173"/>
      <c r="AU20" s="173"/>
      <c r="AV20" s="173"/>
      <c r="AW20" s="173"/>
      <c r="AX20" s="173"/>
      <c r="AY20" s="173"/>
      <c r="AZ20" s="173"/>
      <c r="BA20" s="173"/>
      <c r="BB20" s="173"/>
      <c r="BC20" s="173"/>
      <c r="BD20" s="173"/>
      <c r="BE20" s="174"/>
    </row>
    <row r="21" spans="5:57" ht="12.6" customHeight="1">
      <c r="M21" s="262" t="s">
        <v>191</v>
      </c>
      <c r="N21" s="263"/>
      <c r="O21" s="263"/>
      <c r="P21" s="263"/>
      <c r="Q21" s="263"/>
      <c r="R21" s="263"/>
      <c r="S21" s="263"/>
      <c r="T21" s="263"/>
      <c r="U21" s="264"/>
      <c r="AO21" s="259" t="s">
        <v>226</v>
      </c>
      <c r="AP21" s="260"/>
      <c r="AQ21" s="260"/>
      <c r="AR21" s="260"/>
      <c r="AS21" s="260"/>
      <c r="AT21" s="260"/>
      <c r="AU21" s="260"/>
      <c r="AV21" s="261"/>
    </row>
    <row r="22" spans="5:57" ht="12.6" customHeight="1" thickBot="1">
      <c r="E22" s="108" t="s">
        <v>3</v>
      </c>
      <c r="F22" s="214"/>
      <c r="G22" s="214"/>
      <c r="H22" s="214"/>
      <c r="I22" s="214"/>
      <c r="J22" s="214"/>
      <c r="K22" s="214"/>
      <c r="L22" s="214"/>
      <c r="M22" s="265"/>
      <c r="N22" s="266"/>
      <c r="O22" s="266"/>
      <c r="P22" s="266"/>
      <c r="Q22" s="266"/>
      <c r="R22" s="266"/>
      <c r="S22" s="266"/>
      <c r="T22" s="266"/>
      <c r="U22" s="267"/>
      <c r="AE22" s="51"/>
      <c r="AO22" s="259"/>
      <c r="AP22" s="260"/>
      <c r="AQ22" s="260"/>
      <c r="AR22" s="260"/>
      <c r="AS22" s="260"/>
      <c r="AT22" s="260"/>
      <c r="AU22" s="260"/>
      <c r="AV22" s="261"/>
    </row>
    <row r="23" spans="5:57" ht="12.6" customHeight="1">
      <c r="E23" s="175"/>
      <c r="F23" s="176"/>
      <c r="G23" s="176"/>
      <c r="H23" s="176"/>
      <c r="I23" s="177"/>
      <c r="J23" s="184">
        <v>1</v>
      </c>
      <c r="K23" s="185"/>
      <c r="L23" s="185"/>
      <c r="M23" s="185"/>
      <c r="N23" s="185">
        <v>2</v>
      </c>
      <c r="O23" s="185"/>
      <c r="P23" s="185"/>
      <c r="Q23" s="185"/>
      <c r="R23" s="190">
        <v>5</v>
      </c>
      <c r="S23" s="190"/>
      <c r="T23" s="190"/>
      <c r="U23" s="190"/>
      <c r="V23" s="190">
        <v>10</v>
      </c>
      <c r="W23" s="190"/>
      <c r="X23" s="190"/>
      <c r="Y23" s="190"/>
      <c r="Z23" s="190">
        <v>15</v>
      </c>
      <c r="AA23" s="190"/>
      <c r="AB23" s="190"/>
      <c r="AC23" s="190"/>
      <c r="AD23" s="190">
        <v>50</v>
      </c>
      <c r="AE23" s="190"/>
      <c r="AF23" s="190"/>
      <c r="AG23" s="190"/>
      <c r="AH23" s="190">
        <v>100</v>
      </c>
      <c r="AI23" s="190"/>
      <c r="AJ23" s="190"/>
      <c r="AK23" s="190"/>
      <c r="AL23" s="190">
        <v>150</v>
      </c>
      <c r="AM23" s="190"/>
      <c r="AN23" s="190"/>
      <c r="AO23" s="190"/>
      <c r="AP23" s="190">
        <v>200</v>
      </c>
      <c r="AQ23" s="190"/>
      <c r="AR23" s="190"/>
      <c r="AS23" s="190"/>
      <c r="AT23" s="190">
        <v>250</v>
      </c>
      <c r="AU23" s="190"/>
      <c r="AV23" s="190"/>
      <c r="AW23" s="190"/>
      <c r="AX23" s="190">
        <v>300</v>
      </c>
      <c r="AY23" s="190"/>
      <c r="AZ23" s="190"/>
      <c r="BA23" s="190"/>
      <c r="BB23" s="190">
        <v>1000</v>
      </c>
      <c r="BC23" s="190"/>
      <c r="BD23" s="190"/>
      <c r="BE23" s="256"/>
    </row>
    <row r="24" spans="5:57" ht="12.6" customHeight="1">
      <c r="E24" s="178"/>
      <c r="F24" s="179"/>
      <c r="G24" s="179"/>
      <c r="H24" s="179"/>
      <c r="I24" s="180"/>
      <c r="J24" s="186"/>
      <c r="K24" s="187"/>
      <c r="L24" s="187"/>
      <c r="M24" s="187"/>
      <c r="N24" s="187"/>
      <c r="O24" s="187"/>
      <c r="P24" s="187"/>
      <c r="Q24" s="187"/>
      <c r="R24" s="191"/>
      <c r="S24" s="191"/>
      <c r="T24" s="191"/>
      <c r="U24" s="191"/>
      <c r="V24" s="191"/>
      <c r="W24" s="191"/>
      <c r="X24" s="191"/>
      <c r="Y24" s="191"/>
      <c r="Z24" s="191"/>
      <c r="AA24" s="191"/>
      <c r="AB24" s="191"/>
      <c r="AC24" s="191"/>
      <c r="AD24" s="191"/>
      <c r="AE24" s="191"/>
      <c r="AF24" s="191"/>
      <c r="AG24" s="191"/>
      <c r="AH24" s="191"/>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257"/>
    </row>
    <row r="25" spans="5:57" ht="12.6" customHeight="1" thickBot="1">
      <c r="E25" s="181"/>
      <c r="F25" s="182"/>
      <c r="G25" s="182"/>
      <c r="H25" s="182"/>
      <c r="I25" s="183"/>
      <c r="J25" s="188"/>
      <c r="K25" s="189"/>
      <c r="L25" s="189"/>
      <c r="M25" s="189"/>
      <c r="N25" s="189"/>
      <c r="O25" s="189"/>
      <c r="P25" s="189"/>
      <c r="Q25" s="189"/>
      <c r="R25" s="192"/>
      <c r="S25" s="192"/>
      <c r="T25" s="192"/>
      <c r="U25" s="192"/>
      <c r="V25" s="192"/>
      <c r="W25" s="192"/>
      <c r="X25" s="192"/>
      <c r="Y25" s="192"/>
      <c r="Z25" s="192"/>
      <c r="AA25" s="192"/>
      <c r="AB25" s="192"/>
      <c r="AC25" s="192"/>
      <c r="AD25" s="192"/>
      <c r="AE25" s="192"/>
      <c r="AF25" s="192"/>
      <c r="AG25" s="192"/>
      <c r="AH25" s="192"/>
      <c r="AI25" s="192"/>
      <c r="AJ25" s="192"/>
      <c r="AK25" s="192"/>
      <c r="AL25" s="192"/>
      <c r="AM25" s="192"/>
      <c r="AN25" s="192"/>
      <c r="AO25" s="192"/>
      <c r="AP25" s="192"/>
      <c r="AQ25" s="192"/>
      <c r="AR25" s="192"/>
      <c r="AS25" s="192"/>
      <c r="AT25" s="192"/>
      <c r="AU25" s="192"/>
      <c r="AV25" s="192"/>
      <c r="AW25" s="192"/>
      <c r="AX25" s="192"/>
      <c r="AY25" s="192"/>
      <c r="AZ25" s="192"/>
      <c r="BA25" s="192"/>
      <c r="BB25" s="192"/>
      <c r="BC25" s="192"/>
      <c r="BD25" s="192"/>
      <c r="BE25" s="258"/>
    </row>
    <row r="26" spans="5:57" ht="12.6" customHeight="1">
      <c r="E26" s="197" t="s">
        <v>4</v>
      </c>
      <c r="F26" s="198"/>
      <c r="G26" s="198"/>
      <c r="H26" s="198"/>
      <c r="I26" s="199"/>
      <c r="J26" s="161"/>
      <c r="K26" s="123"/>
      <c r="L26" s="123"/>
      <c r="M26" s="123"/>
      <c r="N26" s="123"/>
      <c r="O26" s="123"/>
      <c r="P26" s="123"/>
      <c r="Q26" s="123"/>
      <c r="R26" s="123"/>
      <c r="S26" s="123"/>
      <c r="T26" s="123"/>
      <c r="U26" s="123"/>
      <c r="V26" s="123"/>
      <c r="W26" s="123"/>
      <c r="X26" s="123"/>
      <c r="Y26" s="123"/>
      <c r="Z26" s="123"/>
      <c r="AA26" s="123"/>
      <c r="AB26" s="123"/>
      <c r="AC26" s="123"/>
      <c r="AD26" s="123"/>
      <c r="AE26" s="123"/>
      <c r="AF26" s="123"/>
      <c r="AG26" s="123"/>
      <c r="AH26" s="123"/>
      <c r="AI26" s="123"/>
      <c r="AJ26" s="123"/>
      <c r="AK26" s="123"/>
      <c r="AL26" s="123"/>
      <c r="AM26" s="123"/>
      <c r="AN26" s="123"/>
      <c r="AO26" s="123"/>
      <c r="AP26" s="123"/>
      <c r="AQ26" s="123"/>
      <c r="AR26" s="123"/>
      <c r="AS26" s="123"/>
      <c r="AT26" s="123"/>
      <c r="AU26" s="123"/>
      <c r="AV26" s="123"/>
      <c r="AW26" s="123"/>
      <c r="AX26" s="123"/>
      <c r="AY26" s="123"/>
      <c r="AZ26" s="123"/>
      <c r="BA26" s="123"/>
      <c r="BB26" s="123"/>
      <c r="BC26" s="123"/>
      <c r="BD26" s="123"/>
      <c r="BE26" s="196"/>
    </row>
    <row r="27" spans="5:57" ht="12.6" customHeight="1">
      <c r="E27" s="200"/>
      <c r="F27" s="201"/>
      <c r="G27" s="201"/>
      <c r="H27" s="201"/>
      <c r="I27" s="202"/>
      <c r="J27" s="162"/>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8"/>
    </row>
    <row r="28" spans="5:57" ht="12.6" customHeight="1">
      <c r="E28" s="200"/>
      <c r="F28" s="201"/>
      <c r="G28" s="201"/>
      <c r="H28" s="201"/>
      <c r="I28" s="202"/>
      <c r="J28" s="162"/>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24"/>
      <c r="BE28" s="128"/>
    </row>
    <row r="29" spans="5:57" ht="12.6" customHeight="1">
      <c r="E29" s="193" t="s">
        <v>5</v>
      </c>
      <c r="F29" s="194"/>
      <c r="G29" s="194"/>
      <c r="H29" s="194"/>
      <c r="I29" s="195"/>
      <c r="J29" s="131"/>
      <c r="K29" s="121"/>
      <c r="L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4"/>
      <c r="BC29" s="124"/>
      <c r="BD29" s="124"/>
      <c r="BE29" s="128"/>
    </row>
    <row r="30" spans="5:57" ht="12.6" customHeight="1">
      <c r="E30" s="193"/>
      <c r="F30" s="194"/>
      <c r="G30" s="194"/>
      <c r="H30" s="194"/>
      <c r="I30" s="195"/>
      <c r="J30" s="131"/>
      <c r="K30" s="121"/>
      <c r="L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M30" s="121"/>
      <c r="AN30" s="121"/>
      <c r="AO30" s="121"/>
      <c r="AP30" s="121"/>
      <c r="AQ30" s="121"/>
      <c r="AR30" s="121"/>
      <c r="AS30" s="121"/>
      <c r="AT30" s="121"/>
      <c r="AU30" s="121"/>
      <c r="AV30" s="121"/>
      <c r="AW30" s="121"/>
      <c r="AX30" s="121"/>
      <c r="AY30" s="121"/>
      <c r="AZ30" s="121"/>
      <c r="BA30" s="121"/>
      <c r="BB30" s="124"/>
      <c r="BC30" s="124"/>
      <c r="BD30" s="124"/>
      <c r="BE30" s="128"/>
    </row>
    <row r="31" spans="5:57" ht="12.6" customHeight="1">
      <c r="E31" s="193"/>
      <c r="F31" s="194"/>
      <c r="G31" s="194"/>
      <c r="H31" s="194"/>
      <c r="I31" s="195"/>
      <c r="J31" s="131"/>
      <c r="K31" s="121"/>
      <c r="L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M31" s="121"/>
      <c r="AN31" s="121"/>
      <c r="AO31" s="121"/>
      <c r="AP31" s="121"/>
      <c r="AQ31" s="121"/>
      <c r="AR31" s="121"/>
      <c r="AS31" s="121"/>
      <c r="AT31" s="121"/>
      <c r="AU31" s="121"/>
      <c r="AV31" s="121"/>
      <c r="AW31" s="121"/>
      <c r="AX31" s="121"/>
      <c r="AY31" s="121"/>
      <c r="AZ31" s="121"/>
      <c r="BA31" s="121"/>
      <c r="BB31" s="124"/>
      <c r="BC31" s="124"/>
      <c r="BD31" s="124"/>
      <c r="BE31" s="128"/>
    </row>
    <row r="32" spans="5:57" ht="12.6" customHeight="1">
      <c r="E32" s="163" t="s">
        <v>6</v>
      </c>
      <c r="F32" s="164"/>
      <c r="G32" s="164"/>
      <c r="H32" s="164"/>
      <c r="I32" s="165"/>
      <c r="J32" s="131"/>
      <c r="K32" s="121"/>
      <c r="L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1"/>
      <c r="AY32" s="121"/>
      <c r="AZ32" s="121"/>
      <c r="BA32" s="121"/>
      <c r="BB32" s="124"/>
      <c r="BC32" s="124"/>
      <c r="BD32" s="124"/>
      <c r="BE32" s="128"/>
    </row>
    <row r="33" spans="1:276" ht="12.6" customHeight="1">
      <c r="E33" s="163"/>
      <c r="F33" s="164"/>
      <c r="G33" s="164"/>
      <c r="H33" s="164"/>
      <c r="I33" s="165"/>
      <c r="J33" s="131"/>
      <c r="K33" s="121"/>
      <c r="L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4"/>
      <c r="BC33" s="124"/>
      <c r="BD33" s="124"/>
      <c r="BE33" s="128"/>
    </row>
    <row r="34" spans="1:276" ht="12.6" customHeight="1">
      <c r="E34" s="163"/>
      <c r="F34" s="164"/>
      <c r="G34" s="164"/>
      <c r="H34" s="164"/>
      <c r="I34" s="165"/>
      <c r="J34" s="131"/>
      <c r="K34" s="121"/>
      <c r="L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4"/>
      <c r="BC34" s="124"/>
      <c r="BD34" s="124"/>
      <c r="BE34" s="128"/>
    </row>
    <row r="35" spans="1:276" ht="12.6" customHeight="1">
      <c r="E35" s="125" t="s">
        <v>7</v>
      </c>
      <c r="F35" s="126"/>
      <c r="G35" s="126"/>
      <c r="H35" s="126"/>
      <c r="I35" s="127"/>
      <c r="J35" s="13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4"/>
      <c r="BC35" s="124"/>
      <c r="BD35" s="124"/>
      <c r="BE35" s="128"/>
    </row>
    <row r="36" spans="1:276" ht="12.6" customHeight="1">
      <c r="E36" s="125"/>
      <c r="F36" s="126"/>
      <c r="G36" s="126"/>
      <c r="H36" s="126"/>
      <c r="I36" s="127"/>
      <c r="J36" s="13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4"/>
      <c r="BC36" s="124"/>
      <c r="BD36" s="124"/>
      <c r="BE36" s="128"/>
    </row>
    <row r="37" spans="1:276" ht="12.6" customHeight="1">
      <c r="E37" s="125"/>
      <c r="F37" s="126"/>
      <c r="G37" s="126"/>
      <c r="H37" s="126"/>
      <c r="I37" s="127"/>
      <c r="J37" s="13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4"/>
      <c r="BC37" s="124"/>
      <c r="BD37" s="124"/>
      <c r="BE37" s="128"/>
    </row>
    <row r="38" spans="1:276" ht="12.6" customHeight="1">
      <c r="E38" s="147" t="s">
        <v>8</v>
      </c>
      <c r="F38" s="148"/>
      <c r="G38" s="148"/>
      <c r="H38" s="148"/>
      <c r="I38" s="149"/>
      <c r="J38" s="153"/>
      <c r="K38" s="154"/>
      <c r="L38" s="154"/>
      <c r="M38" s="154"/>
      <c r="N38" s="121"/>
      <c r="O38" s="121"/>
      <c r="P38" s="121"/>
      <c r="Q38" s="121"/>
      <c r="R38" s="157"/>
      <c r="S38" s="157"/>
      <c r="T38" s="157"/>
      <c r="U38" s="157"/>
      <c r="V38" s="159"/>
      <c r="W38" s="159"/>
      <c r="X38" s="159"/>
      <c r="Y38" s="159"/>
      <c r="Z38" s="121"/>
      <c r="AA38" s="121"/>
      <c r="AB38" s="121"/>
      <c r="AC38" s="121"/>
      <c r="AD38" s="121"/>
      <c r="AE38" s="121"/>
      <c r="AF38" s="121"/>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4"/>
      <c r="BC38" s="124"/>
      <c r="BD38" s="124"/>
      <c r="BE38" s="128"/>
    </row>
    <row r="39" spans="1:276" ht="12.6" customHeight="1">
      <c r="E39" s="147"/>
      <c r="F39" s="148"/>
      <c r="G39" s="148"/>
      <c r="H39" s="148"/>
      <c r="I39" s="149"/>
      <c r="J39" s="153"/>
      <c r="K39" s="154"/>
      <c r="L39" s="154"/>
      <c r="M39" s="154"/>
      <c r="N39" s="121"/>
      <c r="O39" s="121"/>
      <c r="P39" s="121"/>
      <c r="Q39" s="121"/>
      <c r="R39" s="157"/>
      <c r="S39" s="157"/>
      <c r="T39" s="157"/>
      <c r="U39" s="157"/>
      <c r="V39" s="159"/>
      <c r="W39" s="159"/>
      <c r="X39" s="159"/>
      <c r="Y39" s="159"/>
      <c r="Z39" s="121"/>
      <c r="AA39" s="121"/>
      <c r="AB39" s="121"/>
      <c r="AC39" s="121"/>
      <c r="AD39" s="121"/>
      <c r="AE39" s="121"/>
      <c r="AF39" s="121"/>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4"/>
      <c r="BC39" s="124"/>
      <c r="BD39" s="124"/>
      <c r="BE39" s="128"/>
    </row>
    <row r="40" spans="1:276" ht="12.6" customHeight="1" thickBot="1">
      <c r="E40" s="150"/>
      <c r="F40" s="151"/>
      <c r="G40" s="151"/>
      <c r="H40" s="151"/>
      <c r="I40" s="152"/>
      <c r="J40" s="155"/>
      <c r="K40" s="156"/>
      <c r="L40" s="156"/>
      <c r="M40" s="156"/>
      <c r="N40" s="122"/>
      <c r="O40" s="122"/>
      <c r="P40" s="122"/>
      <c r="Q40" s="122"/>
      <c r="R40" s="158"/>
      <c r="S40" s="158"/>
      <c r="T40" s="158"/>
      <c r="U40" s="158"/>
      <c r="V40" s="160"/>
      <c r="W40" s="160"/>
      <c r="X40" s="160"/>
      <c r="Y40" s="160"/>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c r="AX40" s="122"/>
      <c r="AY40" s="122"/>
      <c r="AZ40" s="122"/>
      <c r="BA40" s="122"/>
      <c r="BB40" s="129"/>
      <c r="BC40" s="129"/>
      <c r="BD40" s="129"/>
      <c r="BE40" s="130"/>
    </row>
    <row r="41" spans="1:276" s="1" customFormat="1" ht="12.6" customHeight="1" thickBot="1">
      <c r="A41"/>
      <c r="B41"/>
      <c r="C41"/>
      <c r="D41"/>
      <c r="E41"/>
      <c r="F41"/>
      <c r="G41"/>
      <c r="H41"/>
      <c r="I41"/>
      <c r="J41">
        <v>1</v>
      </c>
      <c r="K41"/>
      <c r="L41"/>
      <c r="M41"/>
      <c r="N41"/>
      <c r="O41"/>
      <c r="P41"/>
      <c r="Q41"/>
      <c r="R41"/>
      <c r="S41"/>
      <c r="T41"/>
      <c r="U41"/>
      <c r="V41">
        <v>1</v>
      </c>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J41" s="31"/>
      <c r="BK41" s="31"/>
      <c r="BL41" s="31"/>
      <c r="BM41" s="31"/>
      <c r="BN41" s="31"/>
      <c r="BO41" s="31"/>
      <c r="BP41" s="31"/>
      <c r="BQ41" s="31"/>
    </row>
    <row r="42" spans="1:276" ht="12.95" customHeight="1">
      <c r="A42" s="43"/>
      <c r="AH42" s="109" t="s">
        <v>193</v>
      </c>
      <c r="AI42" s="110"/>
      <c r="AJ42" s="110"/>
      <c r="AK42" s="110"/>
      <c r="AL42" s="110"/>
      <c r="AM42" s="110"/>
      <c r="AN42" s="110"/>
      <c r="AO42" s="110"/>
      <c r="AP42" s="111"/>
      <c r="AQ42" s="115"/>
      <c r="AR42" s="116"/>
      <c r="AS42" s="116"/>
      <c r="AT42" s="116"/>
      <c r="AU42" s="116"/>
      <c r="AV42" s="116"/>
      <c r="AW42" s="116"/>
      <c r="AX42" s="116"/>
      <c r="AY42" s="116"/>
      <c r="AZ42" s="116"/>
      <c r="BA42" s="116"/>
      <c r="BB42" s="116"/>
      <c r="BC42" s="117"/>
    </row>
    <row r="43" spans="1:276" ht="12.95" customHeight="1" thickBot="1">
      <c r="A43" s="43"/>
      <c r="I43" s="108" t="s">
        <v>9</v>
      </c>
      <c r="J43" s="108"/>
      <c r="K43" s="108"/>
      <c r="L43" s="108"/>
      <c r="M43" s="108"/>
      <c r="N43" s="108"/>
      <c r="O43" s="108"/>
      <c r="P43" s="108"/>
      <c r="Q43" s="108"/>
      <c r="R43" s="108"/>
      <c r="S43" s="108"/>
      <c r="T43" s="108"/>
      <c r="U43" s="108"/>
      <c r="V43" s="108"/>
      <c r="W43" s="108"/>
      <c r="X43" s="108"/>
      <c r="Y43" s="108"/>
      <c r="Z43" s="108"/>
      <c r="AA43" s="108"/>
      <c r="AB43" s="108"/>
      <c r="AH43" s="112"/>
      <c r="AI43" s="113"/>
      <c r="AJ43" s="113"/>
      <c r="AK43" s="113"/>
      <c r="AL43" s="113"/>
      <c r="AM43" s="113"/>
      <c r="AN43" s="113"/>
      <c r="AO43" s="113"/>
      <c r="AP43" s="114"/>
      <c r="AQ43" s="118"/>
      <c r="AR43" s="119"/>
      <c r="AS43" s="119"/>
      <c r="AT43" s="119"/>
      <c r="AU43" s="119"/>
      <c r="AV43" s="119"/>
      <c r="AW43" s="119"/>
      <c r="AX43" s="119"/>
      <c r="AY43" s="119"/>
      <c r="AZ43" s="119"/>
      <c r="BA43" s="119"/>
      <c r="BB43" s="119"/>
      <c r="BC43" s="120"/>
    </row>
    <row r="44" spans="1:276" ht="12.95" customHeight="1" thickBot="1">
      <c r="A44" s="43"/>
      <c r="I44" s="108"/>
      <c r="J44" s="108"/>
      <c r="K44" s="108"/>
      <c r="L44" s="108"/>
      <c r="M44" s="108"/>
      <c r="N44" s="108"/>
      <c r="O44" s="108"/>
      <c r="P44" s="108"/>
      <c r="Q44" s="108"/>
      <c r="R44" s="108"/>
      <c r="S44" s="108"/>
      <c r="T44" s="108"/>
      <c r="U44" s="108"/>
      <c r="V44" s="108"/>
      <c r="W44" s="108"/>
      <c r="X44" s="108"/>
      <c r="Y44" s="108"/>
      <c r="Z44" s="108"/>
      <c r="AA44" s="108"/>
      <c r="AB44" s="108"/>
    </row>
    <row r="45" spans="1:276" ht="12.95" customHeight="1">
      <c r="A45" s="27"/>
      <c r="B45" s="27"/>
      <c r="C45" s="49" t="s">
        <v>183</v>
      </c>
      <c r="D45" s="22"/>
      <c r="E45" s="22"/>
      <c r="F45" s="22"/>
      <c r="G45" s="22"/>
      <c r="H45" s="22"/>
      <c r="I45" s="22"/>
      <c r="J45" s="138" t="s">
        <v>10</v>
      </c>
      <c r="K45" s="139"/>
      <c r="L45" s="139"/>
      <c r="M45" s="139"/>
      <c r="N45" s="139"/>
      <c r="O45" s="139"/>
      <c r="P45" s="139"/>
      <c r="Q45" s="139"/>
      <c r="R45" s="138" t="s">
        <v>11</v>
      </c>
      <c r="S45" s="139"/>
      <c r="T45" s="139"/>
      <c r="U45" s="139"/>
      <c r="V45" s="139"/>
      <c r="W45" s="139"/>
      <c r="X45" s="139"/>
      <c r="Y45" s="142"/>
      <c r="Z45" s="49" t="s">
        <v>184</v>
      </c>
      <c r="AA45" s="22"/>
      <c r="AB45" s="22"/>
      <c r="AC45" s="22"/>
      <c r="AD45" s="22"/>
      <c r="AE45" s="22"/>
      <c r="AF45" s="22"/>
      <c r="AG45" s="22"/>
      <c r="AH45" s="138" t="s">
        <v>12</v>
      </c>
      <c r="AI45" s="139"/>
      <c r="AJ45" s="139"/>
      <c r="AK45" s="139"/>
      <c r="AL45" s="139"/>
      <c r="AM45" s="139"/>
      <c r="AN45" s="139"/>
      <c r="AO45" s="139"/>
      <c r="AP45" s="138" t="s">
        <v>11</v>
      </c>
      <c r="AQ45" s="139"/>
      <c r="AR45" s="139"/>
      <c r="AS45" s="139"/>
      <c r="AT45" s="139"/>
      <c r="AU45" s="139"/>
      <c r="AV45" s="139"/>
      <c r="AW45" s="142"/>
      <c r="AX45" s="49" t="s">
        <v>184</v>
      </c>
      <c r="AY45" s="22"/>
      <c r="AZ45" s="22"/>
      <c r="BA45" s="22"/>
      <c r="BB45" s="22"/>
      <c r="BC45" s="22"/>
      <c r="BD45" s="22"/>
      <c r="BE45" s="22"/>
      <c r="BF45" s="22"/>
      <c r="BG45" s="22"/>
    </row>
    <row r="46" spans="1:276" ht="12.95" customHeight="1" thickBot="1">
      <c r="A46" s="27"/>
      <c r="B46" s="27"/>
      <c r="D46" s="22"/>
      <c r="E46" s="22"/>
      <c r="F46" s="22"/>
      <c r="G46" s="22"/>
      <c r="H46" s="22"/>
      <c r="I46" s="22"/>
      <c r="J46" s="140"/>
      <c r="K46" s="141"/>
      <c r="L46" s="141"/>
      <c r="M46" s="141"/>
      <c r="N46" s="141"/>
      <c r="O46" s="141"/>
      <c r="P46" s="141"/>
      <c r="Q46" s="141"/>
      <c r="R46" s="140"/>
      <c r="S46" s="141"/>
      <c r="T46" s="141"/>
      <c r="U46" s="141"/>
      <c r="V46" s="141"/>
      <c r="W46" s="141"/>
      <c r="X46" s="141"/>
      <c r="Y46" s="143"/>
      <c r="Z46" s="22"/>
      <c r="AA46" s="22"/>
      <c r="AB46" s="22"/>
      <c r="AC46" s="22"/>
      <c r="AD46" s="22"/>
      <c r="AE46" s="22"/>
      <c r="AF46" s="22"/>
      <c r="AG46" s="22"/>
      <c r="AH46" s="140"/>
      <c r="AI46" s="141"/>
      <c r="AJ46" s="141"/>
      <c r="AK46" s="141"/>
      <c r="AL46" s="141"/>
      <c r="AM46" s="141"/>
      <c r="AN46" s="141"/>
      <c r="AO46" s="141"/>
      <c r="AP46" s="140"/>
      <c r="AQ46" s="141"/>
      <c r="AR46" s="141"/>
      <c r="AS46" s="141"/>
      <c r="AT46" s="141"/>
      <c r="AU46" s="141"/>
      <c r="AV46" s="141"/>
      <c r="AW46" s="143"/>
      <c r="AX46" s="22"/>
      <c r="AY46" s="22"/>
      <c r="AZ46" s="22"/>
      <c r="BA46" s="22"/>
      <c r="BB46" s="22"/>
      <c r="BC46" s="22"/>
      <c r="BD46" s="22"/>
      <c r="BE46" s="22"/>
      <c r="BF46" s="22"/>
      <c r="BG46" s="22"/>
    </row>
    <row r="47" spans="1:276" ht="12.95" customHeight="1">
      <c r="A47" s="27"/>
      <c r="B47" s="27"/>
      <c r="C47" s="22"/>
      <c r="D47" s="22"/>
      <c r="E47" s="22"/>
      <c r="F47" s="22"/>
      <c r="G47" s="22"/>
      <c r="H47" s="22"/>
      <c r="I47" s="22"/>
      <c r="J47" s="318"/>
      <c r="K47" s="319"/>
      <c r="L47" s="319"/>
      <c r="M47" s="319"/>
      <c r="N47" s="319"/>
      <c r="O47" s="319"/>
      <c r="P47" s="319"/>
      <c r="Q47" s="319"/>
      <c r="R47" s="320"/>
      <c r="S47" s="321"/>
      <c r="T47" s="321"/>
      <c r="U47" s="321"/>
      <c r="V47" s="321"/>
      <c r="W47" s="321"/>
      <c r="X47" s="321"/>
      <c r="Y47" s="322"/>
      <c r="Z47" s="323"/>
      <c r="AA47" s="323"/>
      <c r="AB47" s="323"/>
      <c r="AC47" s="323"/>
      <c r="AD47" s="323"/>
      <c r="AE47" s="323"/>
      <c r="AF47" s="323"/>
      <c r="AG47" s="323"/>
      <c r="AH47" s="320"/>
      <c r="AI47" s="321"/>
      <c r="AJ47" s="321"/>
      <c r="AK47" s="321"/>
      <c r="AL47" s="321"/>
      <c r="AM47" s="321"/>
      <c r="AN47" s="321"/>
      <c r="AO47" s="321"/>
      <c r="AP47" s="320"/>
      <c r="AQ47" s="321"/>
      <c r="AR47" s="321"/>
      <c r="AS47" s="321"/>
      <c r="AT47" s="321"/>
      <c r="AU47" s="321"/>
      <c r="AV47" s="321"/>
      <c r="AW47" s="322"/>
      <c r="AX47" s="323"/>
      <c r="AY47" s="323"/>
      <c r="AZ47" s="323"/>
      <c r="BA47" s="323"/>
      <c r="BB47" s="323"/>
      <c r="BC47" s="323"/>
      <c r="BD47" s="323"/>
      <c r="BE47" s="323"/>
      <c r="BF47" s="323"/>
      <c r="BG47" s="323"/>
      <c r="BH47" s="324"/>
      <c r="BI47" s="324"/>
      <c r="BJ47" s="325"/>
      <c r="BK47" s="325"/>
      <c r="BL47" s="325"/>
      <c r="BM47" s="325"/>
      <c r="BN47" s="325"/>
      <c r="BO47" s="325"/>
      <c r="BP47" s="325"/>
      <c r="BQ47" s="325"/>
      <c r="BR47" s="324"/>
      <c r="BS47" s="324"/>
      <c r="BT47" s="324"/>
      <c r="BU47" s="324"/>
      <c r="BV47" s="324"/>
      <c r="BW47" s="324"/>
      <c r="BX47" s="324"/>
      <c r="BY47" s="324"/>
      <c r="BZ47" s="324"/>
      <c r="CA47" s="324"/>
      <c r="CB47" s="324"/>
      <c r="CC47" s="324"/>
      <c r="CD47" s="324"/>
      <c r="CE47" s="324"/>
      <c r="CF47" s="324"/>
      <c r="CG47" s="324"/>
      <c r="CH47" s="324"/>
      <c r="CI47" s="324"/>
      <c r="CJ47" s="324"/>
      <c r="CK47" s="324"/>
      <c r="CL47" s="324"/>
      <c r="CM47" s="324"/>
      <c r="CN47" s="324"/>
      <c r="CO47" s="324"/>
      <c r="CP47" s="324"/>
      <c r="CQ47" s="324"/>
      <c r="CR47" s="324"/>
      <c r="CS47" s="324"/>
      <c r="CT47" s="324"/>
      <c r="CU47" s="324"/>
      <c r="CV47" s="324"/>
      <c r="CW47" s="324"/>
      <c r="CX47" s="324"/>
      <c r="CY47" s="324"/>
      <c r="CZ47" s="324"/>
      <c r="DA47" s="324"/>
      <c r="DB47" s="324"/>
      <c r="DC47" s="324"/>
      <c r="DD47" s="324"/>
      <c r="DE47" s="324"/>
      <c r="DF47" s="324"/>
      <c r="DG47" s="324"/>
      <c r="DH47" s="324"/>
      <c r="DI47" s="324"/>
      <c r="DJ47" s="324"/>
      <c r="DK47" s="324"/>
      <c r="DL47" s="324"/>
      <c r="DM47" s="324"/>
      <c r="DN47" s="324"/>
      <c r="DO47" s="324"/>
      <c r="DP47" s="324"/>
      <c r="DQ47" s="324"/>
      <c r="DR47" s="324"/>
      <c r="DS47" s="324"/>
      <c r="DT47" s="324"/>
      <c r="DU47" s="324"/>
      <c r="DV47" s="324"/>
      <c r="DW47" s="324"/>
      <c r="DX47" s="324"/>
      <c r="DY47" s="324"/>
      <c r="DZ47" s="324"/>
      <c r="EA47" s="324"/>
      <c r="EB47" s="324"/>
      <c r="EC47" s="324"/>
      <c r="ED47" s="324"/>
      <c r="EE47" s="324"/>
      <c r="EF47" s="324"/>
      <c r="EG47" s="324"/>
      <c r="EH47" s="324"/>
      <c r="EI47" s="324"/>
      <c r="EJ47" s="324"/>
      <c r="EK47" s="324"/>
      <c r="EL47" s="324"/>
      <c r="EM47" s="324"/>
      <c r="EN47" s="324"/>
      <c r="EO47" s="324"/>
      <c r="EP47" s="324"/>
      <c r="EQ47" s="324"/>
      <c r="ER47" s="324"/>
      <c r="ES47" s="324"/>
      <c r="ET47" s="324"/>
      <c r="EU47" s="324"/>
      <c r="EV47" s="324"/>
      <c r="EW47" s="324"/>
      <c r="EX47" s="324"/>
      <c r="EY47" s="324"/>
      <c r="EZ47" s="324"/>
      <c r="FA47" s="324"/>
      <c r="FB47" s="324"/>
      <c r="FC47" s="324"/>
      <c r="FD47" s="324"/>
      <c r="FE47" s="324"/>
      <c r="FF47" s="324"/>
      <c r="FG47" s="324"/>
      <c r="FH47" s="324"/>
      <c r="FI47" s="324"/>
      <c r="FJ47" s="324"/>
      <c r="FK47" s="324"/>
      <c r="FL47" s="324"/>
      <c r="FM47" s="324"/>
      <c r="FN47" s="324"/>
      <c r="FO47" s="324"/>
      <c r="FP47" s="324"/>
      <c r="FQ47" s="324"/>
      <c r="FR47" s="324"/>
      <c r="FS47" s="324"/>
      <c r="FT47" s="324"/>
      <c r="FU47" s="324"/>
      <c r="FV47" s="324"/>
      <c r="FW47" s="324"/>
      <c r="FX47" s="324"/>
      <c r="FY47" s="324"/>
      <c r="FZ47" s="324"/>
      <c r="GA47" s="324"/>
      <c r="GB47" s="324"/>
      <c r="GC47" s="324"/>
      <c r="GD47" s="324"/>
      <c r="GE47" s="324"/>
      <c r="GF47" s="324"/>
      <c r="GG47" s="324"/>
      <c r="GH47" s="324"/>
      <c r="GI47" s="324"/>
      <c r="GJ47" s="324"/>
      <c r="GK47" s="324"/>
      <c r="GL47" s="324"/>
      <c r="GM47" s="324"/>
      <c r="GN47" s="324"/>
      <c r="GO47" s="324"/>
      <c r="GP47" s="324"/>
      <c r="GQ47" s="324"/>
      <c r="GR47" s="324"/>
      <c r="GS47" s="324"/>
      <c r="GT47" s="324"/>
      <c r="GU47" s="324"/>
      <c r="GV47" s="324"/>
      <c r="GW47" s="324"/>
      <c r="GX47" s="324"/>
      <c r="GY47" s="324"/>
      <c r="GZ47" s="324"/>
      <c r="HA47" s="324"/>
      <c r="HB47" s="324"/>
      <c r="HC47" s="324"/>
      <c r="HD47" s="324"/>
      <c r="HE47" s="324"/>
      <c r="HF47" s="324"/>
      <c r="HG47" s="324"/>
      <c r="HH47" s="324"/>
      <c r="HI47" s="324"/>
      <c r="HJ47" s="324"/>
      <c r="HK47" s="324"/>
      <c r="HL47" s="324"/>
      <c r="HM47" s="324"/>
      <c r="HN47" s="324"/>
      <c r="HO47" s="324"/>
      <c r="HP47" s="324"/>
      <c r="HQ47" s="324"/>
      <c r="HR47" s="324"/>
      <c r="HS47" s="324"/>
      <c r="HT47" s="324"/>
      <c r="HU47" s="324"/>
      <c r="HV47" s="324"/>
      <c r="HW47" s="324"/>
      <c r="HX47" s="324"/>
      <c r="HY47" s="324"/>
      <c r="HZ47" s="324"/>
      <c r="IA47" s="324"/>
      <c r="IB47" s="324"/>
      <c r="IC47" s="324"/>
      <c r="ID47" s="324"/>
      <c r="IE47" s="324"/>
      <c r="IF47" s="324"/>
      <c r="IG47" s="324"/>
      <c r="IH47" s="324"/>
      <c r="II47" s="324"/>
      <c r="IJ47" s="324"/>
      <c r="IK47" s="324"/>
      <c r="IL47" s="324"/>
      <c r="IM47" s="324"/>
      <c r="IN47" s="324"/>
      <c r="IO47" s="324"/>
      <c r="IP47" s="324"/>
      <c r="IQ47" s="324"/>
      <c r="IR47" s="324"/>
      <c r="IS47" s="324"/>
      <c r="IT47" s="324"/>
      <c r="IU47" s="324"/>
      <c r="IV47" s="324"/>
      <c r="IW47" s="324"/>
      <c r="IX47" s="324"/>
      <c r="IY47" s="324"/>
      <c r="IZ47" s="324"/>
      <c r="JA47" s="324"/>
      <c r="JB47" s="324"/>
      <c r="JC47" s="324"/>
      <c r="JD47" s="324"/>
      <c r="JE47" s="324"/>
      <c r="JF47" s="324"/>
      <c r="JG47" s="324"/>
      <c r="JH47" s="324"/>
      <c r="JI47" s="324"/>
      <c r="JJ47" s="324"/>
      <c r="JK47" s="324"/>
      <c r="JL47" s="324"/>
      <c r="JM47" s="324"/>
      <c r="JN47" s="324"/>
      <c r="JO47" s="324"/>
      <c r="JP47" s="324"/>
    </row>
    <row r="48" spans="1:276" ht="12" customHeight="1">
      <c r="A48" s="27"/>
      <c r="B48" s="27"/>
      <c r="C48" s="22"/>
      <c r="D48" s="22"/>
      <c r="E48" s="22"/>
      <c r="F48" s="22"/>
      <c r="G48" s="22"/>
      <c r="H48" s="22"/>
      <c r="I48" s="22"/>
      <c r="J48" s="318"/>
      <c r="K48" s="319"/>
      <c r="L48" s="319"/>
      <c r="M48" s="319"/>
      <c r="N48" s="319"/>
      <c r="O48" s="319"/>
      <c r="P48" s="319"/>
      <c r="Q48" s="319"/>
      <c r="R48" s="320"/>
      <c r="S48" s="321"/>
      <c r="T48" s="321"/>
      <c r="U48" s="321"/>
      <c r="V48" s="321"/>
      <c r="W48" s="321"/>
      <c r="X48" s="321"/>
      <c r="Y48" s="322"/>
      <c r="Z48" s="323"/>
      <c r="AA48" s="323"/>
      <c r="AB48" s="323"/>
      <c r="AC48" s="323"/>
      <c r="AD48" s="323"/>
      <c r="AE48" s="323"/>
      <c r="AF48" s="323"/>
      <c r="AG48" s="323"/>
      <c r="AH48" s="320"/>
      <c r="AI48" s="321"/>
      <c r="AJ48" s="321"/>
      <c r="AK48" s="321"/>
      <c r="AL48" s="321"/>
      <c r="AM48" s="321"/>
      <c r="AN48" s="321"/>
      <c r="AO48" s="321"/>
      <c r="AP48" s="320"/>
      <c r="AQ48" s="321"/>
      <c r="AR48" s="321"/>
      <c r="AS48" s="321"/>
      <c r="AT48" s="321"/>
      <c r="AU48" s="321"/>
      <c r="AV48" s="321"/>
      <c r="AW48" s="322"/>
      <c r="AX48" s="323"/>
      <c r="AY48" s="323"/>
      <c r="AZ48" s="323"/>
      <c r="BA48" s="323"/>
      <c r="BB48" s="323"/>
      <c r="BC48" s="323"/>
      <c r="BD48" s="323"/>
      <c r="BE48" s="323"/>
      <c r="BF48" s="323"/>
      <c r="BG48" s="323"/>
      <c r="BH48" s="324"/>
      <c r="BI48" s="324"/>
      <c r="BJ48" s="325"/>
      <c r="BK48" s="325"/>
      <c r="BL48" s="325"/>
      <c r="BM48" s="325"/>
      <c r="BN48" s="325"/>
      <c r="BO48" s="325"/>
      <c r="BP48" s="325"/>
      <c r="BQ48" s="325"/>
      <c r="BR48" s="324"/>
      <c r="BS48" s="324"/>
      <c r="BT48" s="324"/>
      <c r="BU48" s="324"/>
      <c r="BV48" s="324"/>
      <c r="BW48" s="324"/>
      <c r="BX48" s="324"/>
      <c r="BY48" s="324"/>
      <c r="BZ48" s="324"/>
      <c r="CA48" s="324"/>
      <c r="CB48" s="324"/>
      <c r="CC48" s="324"/>
      <c r="CD48" s="324"/>
      <c r="CE48" s="324"/>
      <c r="CF48" s="324"/>
      <c r="CG48" s="324"/>
      <c r="CH48" s="324"/>
      <c r="CI48" s="324"/>
      <c r="CJ48" s="324"/>
      <c r="CK48" s="324"/>
      <c r="CL48" s="324"/>
      <c r="CM48" s="324"/>
      <c r="CN48" s="324"/>
      <c r="CO48" s="324"/>
      <c r="CP48" s="324"/>
      <c r="CQ48" s="324"/>
      <c r="CR48" s="324"/>
      <c r="CS48" s="324"/>
      <c r="CT48" s="324"/>
      <c r="CU48" s="324"/>
      <c r="CV48" s="324"/>
      <c r="CW48" s="324"/>
      <c r="CX48" s="324"/>
      <c r="CY48" s="324"/>
      <c r="CZ48" s="324"/>
      <c r="DA48" s="324"/>
      <c r="DB48" s="324"/>
      <c r="DC48" s="324"/>
      <c r="DD48" s="324"/>
      <c r="DE48" s="324"/>
      <c r="DF48" s="324"/>
      <c r="DG48" s="324"/>
      <c r="DH48" s="324"/>
      <c r="DI48" s="324"/>
      <c r="DJ48" s="324"/>
      <c r="DK48" s="324"/>
      <c r="DL48" s="324"/>
      <c r="DM48" s="324"/>
      <c r="DN48" s="324"/>
      <c r="DO48" s="324"/>
      <c r="DP48" s="324"/>
      <c r="DQ48" s="324"/>
      <c r="DR48" s="324"/>
      <c r="DS48" s="324"/>
      <c r="DT48" s="324"/>
      <c r="DU48" s="324"/>
      <c r="DV48" s="324"/>
      <c r="DW48" s="324"/>
      <c r="DX48" s="324"/>
      <c r="DY48" s="324"/>
      <c r="DZ48" s="324"/>
      <c r="EA48" s="324"/>
      <c r="EB48" s="324"/>
      <c r="EC48" s="324"/>
      <c r="ED48" s="324"/>
      <c r="EE48" s="324"/>
      <c r="EF48" s="324"/>
      <c r="EG48" s="324"/>
      <c r="EH48" s="324"/>
      <c r="EI48" s="324"/>
      <c r="EJ48" s="324"/>
      <c r="EK48" s="324"/>
      <c r="EL48" s="324"/>
      <c r="EM48" s="324"/>
      <c r="EN48" s="324"/>
      <c r="EO48" s="324"/>
      <c r="EP48" s="324"/>
      <c r="EQ48" s="324"/>
      <c r="ER48" s="324"/>
      <c r="ES48" s="324"/>
      <c r="ET48" s="324"/>
      <c r="EU48" s="324"/>
      <c r="EV48" s="324"/>
      <c r="EW48" s="324"/>
      <c r="EX48" s="324"/>
      <c r="EY48" s="324"/>
      <c r="EZ48" s="324"/>
      <c r="FA48" s="324"/>
      <c r="FB48" s="324"/>
      <c r="FC48" s="324"/>
      <c r="FD48" s="324"/>
      <c r="FE48" s="324"/>
      <c r="FF48" s="324"/>
      <c r="FG48" s="324"/>
      <c r="FH48" s="324"/>
      <c r="FI48" s="324"/>
      <c r="FJ48" s="324"/>
      <c r="FK48" s="324"/>
      <c r="FL48" s="324"/>
      <c r="FM48" s="324"/>
      <c r="FN48" s="324"/>
      <c r="FO48" s="324"/>
      <c r="FP48" s="324"/>
      <c r="FQ48" s="324"/>
      <c r="FR48" s="324"/>
      <c r="FS48" s="324"/>
      <c r="FT48" s="324"/>
      <c r="FU48" s="324"/>
      <c r="FV48" s="324"/>
      <c r="FW48" s="324"/>
      <c r="FX48" s="324"/>
      <c r="FY48" s="324"/>
      <c r="FZ48" s="324"/>
      <c r="GA48" s="324"/>
      <c r="GB48" s="324"/>
      <c r="GC48" s="324"/>
      <c r="GD48" s="324"/>
      <c r="GE48" s="324"/>
      <c r="GF48" s="324"/>
      <c r="GG48" s="324"/>
      <c r="GH48" s="324"/>
      <c r="GI48" s="324"/>
      <c r="GJ48" s="324"/>
      <c r="GK48" s="324"/>
      <c r="GL48" s="324"/>
      <c r="GM48" s="324"/>
      <c r="GN48" s="324"/>
      <c r="GO48" s="324"/>
      <c r="GP48" s="324"/>
      <c r="GQ48" s="324"/>
      <c r="GR48" s="324"/>
      <c r="GS48" s="324"/>
      <c r="GT48" s="324"/>
      <c r="GU48" s="324"/>
      <c r="GV48" s="324"/>
      <c r="GW48" s="324"/>
      <c r="GX48" s="324"/>
      <c r="GY48" s="324"/>
      <c r="GZ48" s="324"/>
      <c r="HA48" s="324"/>
      <c r="HB48" s="324"/>
      <c r="HC48" s="324"/>
      <c r="HD48" s="324"/>
      <c r="HE48" s="324"/>
      <c r="HF48" s="324"/>
      <c r="HG48" s="324"/>
      <c r="HH48" s="324"/>
      <c r="HI48" s="324"/>
      <c r="HJ48" s="324"/>
      <c r="HK48" s="324"/>
      <c r="HL48" s="324"/>
      <c r="HM48" s="324"/>
      <c r="HN48" s="324"/>
      <c r="HO48" s="324"/>
      <c r="HP48" s="324"/>
      <c r="HQ48" s="324"/>
      <c r="HR48" s="324"/>
      <c r="HS48" s="324"/>
      <c r="HT48" s="324"/>
      <c r="HU48" s="324"/>
      <c r="HV48" s="324"/>
      <c r="HW48" s="324"/>
      <c r="HX48" s="324"/>
      <c r="HY48" s="324"/>
      <c r="HZ48" s="324"/>
      <c r="IA48" s="324"/>
      <c r="IB48" s="324"/>
      <c r="IC48" s="324"/>
      <c r="ID48" s="324"/>
      <c r="IE48" s="324"/>
      <c r="IF48" s="324"/>
      <c r="IG48" s="324"/>
      <c r="IH48" s="324"/>
      <c r="II48" s="324"/>
      <c r="IJ48" s="324"/>
      <c r="IK48" s="324"/>
      <c r="IL48" s="324"/>
      <c r="IM48" s="324"/>
      <c r="IN48" s="324"/>
      <c r="IO48" s="324"/>
      <c r="IP48" s="324"/>
      <c r="IQ48" s="324"/>
      <c r="IR48" s="324"/>
      <c r="IS48" s="324"/>
      <c r="IT48" s="324"/>
      <c r="IU48" s="324"/>
      <c r="IV48" s="324"/>
      <c r="IW48" s="324"/>
      <c r="IX48" s="324"/>
      <c r="IY48" s="324"/>
      <c r="IZ48" s="324"/>
      <c r="JA48" s="324"/>
      <c r="JB48" s="324"/>
      <c r="JC48" s="324"/>
      <c r="JD48" s="324"/>
      <c r="JE48" s="324"/>
      <c r="JF48" s="324"/>
      <c r="JG48" s="324"/>
      <c r="JH48" s="324"/>
      <c r="JI48" s="324"/>
      <c r="JJ48" s="324"/>
      <c r="JK48" s="324"/>
      <c r="JL48" s="324"/>
      <c r="JM48" s="324"/>
      <c r="JN48" s="324"/>
      <c r="JO48" s="324"/>
      <c r="JP48" s="324"/>
    </row>
    <row r="49" spans="1:276" ht="12" customHeight="1">
      <c r="A49" s="47"/>
      <c r="B49" s="27"/>
      <c r="C49" s="22"/>
      <c r="D49" s="22"/>
      <c r="E49" s="22"/>
      <c r="F49" s="22"/>
      <c r="G49" s="22"/>
      <c r="H49" s="22"/>
      <c r="I49" s="22"/>
      <c r="J49" s="318"/>
      <c r="K49" s="319"/>
      <c r="L49" s="319"/>
      <c r="M49" s="319"/>
      <c r="N49" s="319"/>
      <c r="O49" s="319"/>
      <c r="P49" s="319"/>
      <c r="Q49" s="319"/>
      <c r="R49" s="320"/>
      <c r="S49" s="321"/>
      <c r="T49" s="321"/>
      <c r="U49" s="321"/>
      <c r="V49" s="321"/>
      <c r="W49" s="321"/>
      <c r="X49" s="321"/>
      <c r="Y49" s="322"/>
      <c r="Z49" s="323"/>
      <c r="AA49" s="323"/>
      <c r="AB49" s="323"/>
      <c r="AC49" s="323"/>
      <c r="AD49" s="323"/>
      <c r="AE49" s="323"/>
      <c r="AF49" s="323"/>
      <c r="AG49" s="323"/>
      <c r="AH49" s="320"/>
      <c r="AI49" s="321"/>
      <c r="AJ49" s="321"/>
      <c r="AK49" s="321"/>
      <c r="AL49" s="321"/>
      <c r="AM49" s="321"/>
      <c r="AN49" s="321"/>
      <c r="AO49" s="321"/>
      <c r="AP49" s="320"/>
      <c r="AQ49" s="321"/>
      <c r="AR49" s="321"/>
      <c r="AS49" s="321"/>
      <c r="AT49" s="321"/>
      <c r="AU49" s="321"/>
      <c r="AV49" s="321"/>
      <c r="AW49" s="322"/>
      <c r="AX49" s="323"/>
      <c r="AY49" s="323"/>
      <c r="AZ49" s="323"/>
      <c r="BA49" s="323"/>
      <c r="BB49" s="323"/>
      <c r="BC49" s="323"/>
      <c r="BD49" s="323"/>
      <c r="BE49" s="323"/>
      <c r="BF49" s="323"/>
      <c r="BG49" s="323"/>
      <c r="BH49" s="324"/>
      <c r="BI49" s="324"/>
      <c r="BJ49" s="325"/>
      <c r="BK49" s="325"/>
      <c r="BL49" s="325"/>
      <c r="BM49" s="325"/>
      <c r="BN49" s="325"/>
      <c r="BO49" s="325"/>
      <c r="BP49" s="325"/>
      <c r="BQ49" s="325"/>
      <c r="BR49" s="324"/>
      <c r="BS49" s="324"/>
      <c r="BT49" s="324"/>
      <c r="BU49" s="324"/>
      <c r="BV49" s="324"/>
      <c r="BW49" s="324"/>
      <c r="BX49" s="324"/>
      <c r="BY49" s="324"/>
      <c r="BZ49" s="324"/>
      <c r="CA49" s="324"/>
      <c r="CB49" s="324"/>
      <c r="CC49" s="324"/>
      <c r="CD49" s="324"/>
      <c r="CE49" s="324"/>
      <c r="CF49" s="324"/>
      <c r="CG49" s="324"/>
      <c r="CH49" s="324"/>
      <c r="CI49" s="324"/>
      <c r="CJ49" s="324"/>
      <c r="CK49" s="324"/>
      <c r="CL49" s="324"/>
      <c r="CM49" s="324"/>
      <c r="CN49" s="324"/>
      <c r="CO49" s="324"/>
      <c r="CP49" s="324"/>
      <c r="CQ49" s="324"/>
      <c r="CR49" s="324"/>
      <c r="CS49" s="324"/>
      <c r="CT49" s="324"/>
      <c r="CU49" s="324"/>
      <c r="CV49" s="324"/>
      <c r="CW49" s="324"/>
      <c r="CX49" s="324"/>
      <c r="CY49" s="324"/>
      <c r="CZ49" s="324"/>
      <c r="DA49" s="324"/>
      <c r="DB49" s="324"/>
      <c r="DC49" s="324"/>
      <c r="DD49" s="324"/>
      <c r="DE49" s="324"/>
      <c r="DF49" s="324"/>
      <c r="DG49" s="324"/>
      <c r="DH49" s="324"/>
      <c r="DI49" s="324"/>
      <c r="DJ49" s="324"/>
      <c r="DK49" s="324"/>
      <c r="DL49" s="324"/>
      <c r="DM49" s="324"/>
      <c r="DN49" s="324"/>
      <c r="DO49" s="324"/>
      <c r="DP49" s="324"/>
      <c r="DQ49" s="324"/>
      <c r="DR49" s="324"/>
      <c r="DS49" s="324"/>
      <c r="DT49" s="324"/>
      <c r="DU49" s="324"/>
      <c r="DV49" s="324"/>
      <c r="DW49" s="324"/>
      <c r="DX49" s="324"/>
      <c r="DY49" s="324"/>
      <c r="DZ49" s="324"/>
      <c r="EA49" s="324"/>
      <c r="EB49" s="324"/>
      <c r="EC49" s="324"/>
      <c r="ED49" s="324"/>
      <c r="EE49" s="324"/>
      <c r="EF49" s="324"/>
      <c r="EG49" s="324"/>
      <c r="EH49" s="324"/>
      <c r="EI49" s="324"/>
      <c r="EJ49" s="324"/>
      <c r="EK49" s="324"/>
      <c r="EL49" s="324"/>
      <c r="EM49" s="324"/>
      <c r="EN49" s="324"/>
      <c r="EO49" s="324"/>
      <c r="EP49" s="324"/>
      <c r="EQ49" s="324"/>
      <c r="ER49" s="324"/>
      <c r="ES49" s="324"/>
      <c r="ET49" s="324"/>
      <c r="EU49" s="324"/>
      <c r="EV49" s="324"/>
      <c r="EW49" s="324"/>
      <c r="EX49" s="324"/>
      <c r="EY49" s="324"/>
      <c r="EZ49" s="324"/>
      <c r="FA49" s="324"/>
      <c r="FB49" s="324"/>
      <c r="FC49" s="324"/>
      <c r="FD49" s="324"/>
      <c r="FE49" s="324"/>
      <c r="FF49" s="324"/>
      <c r="FG49" s="324"/>
      <c r="FH49" s="324"/>
      <c r="FI49" s="324"/>
      <c r="FJ49" s="324"/>
      <c r="FK49" s="324"/>
      <c r="FL49" s="324"/>
      <c r="FM49" s="324"/>
      <c r="FN49" s="324"/>
      <c r="FO49" s="324"/>
      <c r="FP49" s="324"/>
      <c r="FQ49" s="324"/>
      <c r="FR49" s="324"/>
      <c r="FS49" s="324"/>
      <c r="FT49" s="324"/>
      <c r="FU49" s="324"/>
      <c r="FV49" s="324"/>
      <c r="FW49" s="324"/>
      <c r="FX49" s="324"/>
      <c r="FY49" s="324"/>
      <c r="FZ49" s="324"/>
      <c r="GA49" s="324"/>
      <c r="GB49" s="324"/>
      <c r="GC49" s="324"/>
      <c r="GD49" s="324"/>
      <c r="GE49" s="324"/>
      <c r="GF49" s="324"/>
      <c r="GG49" s="324"/>
      <c r="GH49" s="324"/>
      <c r="GI49" s="324"/>
      <c r="GJ49" s="324"/>
      <c r="GK49" s="324"/>
      <c r="GL49" s="324"/>
      <c r="GM49" s="324"/>
      <c r="GN49" s="324"/>
      <c r="GO49" s="324"/>
      <c r="GP49" s="324"/>
      <c r="GQ49" s="324"/>
      <c r="GR49" s="324"/>
      <c r="GS49" s="324"/>
      <c r="GT49" s="324"/>
      <c r="GU49" s="324"/>
      <c r="GV49" s="324"/>
      <c r="GW49" s="324"/>
      <c r="GX49" s="324"/>
      <c r="GY49" s="324"/>
      <c r="GZ49" s="324"/>
      <c r="HA49" s="324"/>
      <c r="HB49" s="324"/>
      <c r="HC49" s="324"/>
      <c r="HD49" s="324"/>
      <c r="HE49" s="324"/>
      <c r="HF49" s="324"/>
      <c r="HG49" s="324"/>
      <c r="HH49" s="324"/>
      <c r="HI49" s="324"/>
      <c r="HJ49" s="324"/>
      <c r="HK49" s="324"/>
      <c r="HL49" s="324"/>
      <c r="HM49" s="324"/>
      <c r="HN49" s="324"/>
      <c r="HO49" s="324"/>
      <c r="HP49" s="324"/>
      <c r="HQ49" s="324"/>
      <c r="HR49" s="324"/>
      <c r="HS49" s="324"/>
      <c r="HT49" s="324"/>
      <c r="HU49" s="324"/>
      <c r="HV49" s="324"/>
      <c r="HW49" s="324"/>
      <c r="HX49" s="324"/>
      <c r="HY49" s="324"/>
      <c r="HZ49" s="324"/>
      <c r="IA49" s="324"/>
      <c r="IB49" s="324"/>
      <c r="IC49" s="324"/>
      <c r="ID49" s="324"/>
      <c r="IE49" s="324"/>
      <c r="IF49" s="324"/>
      <c r="IG49" s="324"/>
      <c r="IH49" s="324"/>
      <c r="II49" s="324"/>
      <c r="IJ49" s="324"/>
      <c r="IK49" s="324"/>
      <c r="IL49" s="324"/>
      <c r="IM49" s="324"/>
      <c r="IN49" s="324"/>
      <c r="IO49" s="324"/>
      <c r="IP49" s="324"/>
      <c r="IQ49" s="324"/>
      <c r="IR49" s="324"/>
      <c r="IS49" s="324"/>
      <c r="IT49" s="324"/>
      <c r="IU49" s="324"/>
      <c r="IV49" s="324"/>
      <c r="IW49" s="324"/>
      <c r="IX49" s="324"/>
      <c r="IY49" s="324"/>
      <c r="IZ49" s="324"/>
      <c r="JA49" s="324"/>
      <c r="JB49" s="324"/>
      <c r="JC49" s="324"/>
      <c r="JD49" s="324"/>
      <c r="JE49" s="324"/>
      <c r="JF49" s="324"/>
      <c r="JG49" s="324"/>
      <c r="JH49" s="324"/>
      <c r="JI49" s="324"/>
      <c r="JJ49" s="324"/>
      <c r="JK49" s="324"/>
      <c r="JL49" s="324"/>
      <c r="JM49" s="324"/>
      <c r="JN49" s="324"/>
      <c r="JO49" s="324"/>
      <c r="JP49" s="324"/>
    </row>
    <row r="50" spans="1:276" ht="12" customHeight="1">
      <c r="A50" s="27"/>
      <c r="B50" s="27"/>
      <c r="C50" s="22"/>
      <c r="D50" s="22"/>
      <c r="E50" s="22"/>
      <c r="F50" s="22"/>
      <c r="G50" s="22"/>
      <c r="H50" s="22"/>
      <c r="I50" s="22"/>
      <c r="J50" s="318"/>
      <c r="K50" s="319"/>
      <c r="L50" s="319"/>
      <c r="M50" s="319"/>
      <c r="N50" s="319"/>
      <c r="O50" s="319"/>
      <c r="P50" s="319"/>
      <c r="Q50" s="319"/>
      <c r="R50" s="320"/>
      <c r="S50" s="321"/>
      <c r="T50" s="321"/>
      <c r="U50" s="321"/>
      <c r="V50" s="321"/>
      <c r="W50" s="321"/>
      <c r="X50" s="321"/>
      <c r="Y50" s="322"/>
      <c r="Z50" s="323"/>
      <c r="AA50" s="326" t="s">
        <v>185</v>
      </c>
      <c r="AB50" s="327"/>
      <c r="AC50" s="327"/>
      <c r="AD50" s="327"/>
      <c r="AE50" s="327"/>
      <c r="AF50" s="327"/>
      <c r="AG50" s="323"/>
      <c r="AH50" s="320"/>
      <c r="AI50" s="321"/>
      <c r="AJ50" s="321"/>
      <c r="AK50" s="321"/>
      <c r="AL50" s="321"/>
      <c r="AM50" s="321"/>
      <c r="AN50" s="321"/>
      <c r="AO50" s="321"/>
      <c r="AP50" s="320"/>
      <c r="AQ50" s="321"/>
      <c r="AR50" s="321"/>
      <c r="AS50" s="321"/>
      <c r="AT50" s="321"/>
      <c r="AU50" s="321"/>
      <c r="AV50" s="321"/>
      <c r="AW50" s="322"/>
      <c r="AX50" s="323"/>
      <c r="AY50" s="323"/>
      <c r="AZ50" s="323"/>
      <c r="BA50" s="323"/>
      <c r="BB50" s="323"/>
      <c r="BC50" s="323"/>
      <c r="BD50" s="323"/>
      <c r="BE50" s="323"/>
      <c r="BF50" s="323"/>
      <c r="BG50" s="323"/>
      <c r="BH50" s="324"/>
      <c r="BI50" s="324"/>
      <c r="BJ50" s="325"/>
      <c r="BK50" s="325"/>
      <c r="BL50" s="325"/>
      <c r="BM50" s="325"/>
      <c r="BN50" s="325"/>
      <c r="BO50" s="325"/>
      <c r="BP50" s="325"/>
      <c r="BQ50" s="325"/>
      <c r="BR50" s="324"/>
      <c r="BS50" s="324"/>
      <c r="BT50" s="324"/>
      <c r="BU50" s="324"/>
      <c r="BV50" s="324"/>
      <c r="BW50" s="324"/>
      <c r="BX50" s="324"/>
      <c r="BY50" s="324"/>
      <c r="BZ50" s="324"/>
      <c r="CA50" s="324"/>
      <c r="CB50" s="324"/>
      <c r="CC50" s="324"/>
      <c r="CD50" s="324"/>
      <c r="CE50" s="324"/>
      <c r="CF50" s="324"/>
      <c r="CG50" s="324"/>
      <c r="CH50" s="324"/>
      <c r="CI50" s="324"/>
      <c r="CJ50" s="324"/>
      <c r="CK50" s="324"/>
      <c r="CL50" s="324"/>
      <c r="CM50" s="324"/>
      <c r="CN50" s="324"/>
      <c r="CO50" s="324"/>
      <c r="CP50" s="324"/>
      <c r="CQ50" s="324"/>
      <c r="CR50" s="324"/>
      <c r="CS50" s="324"/>
      <c r="CT50" s="324"/>
      <c r="CU50" s="324"/>
      <c r="CV50" s="324"/>
      <c r="CW50" s="324"/>
      <c r="CX50" s="324"/>
      <c r="CY50" s="324"/>
      <c r="CZ50" s="324"/>
      <c r="DA50" s="324"/>
      <c r="DB50" s="324"/>
      <c r="DC50" s="324"/>
      <c r="DD50" s="324"/>
      <c r="DE50" s="324"/>
      <c r="DF50" s="324"/>
      <c r="DG50" s="324"/>
      <c r="DH50" s="324"/>
      <c r="DI50" s="324"/>
      <c r="DJ50" s="324"/>
      <c r="DK50" s="324"/>
      <c r="DL50" s="324"/>
      <c r="DM50" s="324"/>
      <c r="DN50" s="324"/>
      <c r="DO50" s="324"/>
      <c r="DP50" s="324"/>
      <c r="DQ50" s="324"/>
      <c r="DR50" s="324"/>
      <c r="DS50" s="324"/>
      <c r="DT50" s="324"/>
      <c r="DU50" s="324"/>
      <c r="DV50" s="324"/>
      <c r="DW50" s="324"/>
      <c r="DX50" s="324"/>
      <c r="DY50" s="324"/>
      <c r="DZ50" s="324"/>
      <c r="EA50" s="324"/>
      <c r="EB50" s="324"/>
      <c r="EC50" s="324"/>
      <c r="ED50" s="324"/>
      <c r="EE50" s="324"/>
      <c r="EF50" s="324"/>
      <c r="EG50" s="324"/>
      <c r="EH50" s="324"/>
      <c r="EI50" s="324"/>
      <c r="EJ50" s="324"/>
      <c r="EK50" s="324"/>
      <c r="EL50" s="324"/>
      <c r="EM50" s="324"/>
      <c r="EN50" s="324"/>
      <c r="EO50" s="324"/>
      <c r="EP50" s="324"/>
      <c r="EQ50" s="324"/>
      <c r="ER50" s="324"/>
      <c r="ES50" s="324"/>
      <c r="ET50" s="324"/>
      <c r="EU50" s="324"/>
      <c r="EV50" s="324"/>
      <c r="EW50" s="324"/>
      <c r="EX50" s="324"/>
      <c r="EY50" s="324"/>
      <c r="EZ50" s="324"/>
      <c r="FA50" s="324"/>
      <c r="FB50" s="324"/>
      <c r="FC50" s="324"/>
      <c r="FD50" s="324"/>
      <c r="FE50" s="324"/>
      <c r="FF50" s="324"/>
      <c r="FG50" s="324"/>
      <c r="FH50" s="324"/>
      <c r="FI50" s="324"/>
      <c r="FJ50" s="324"/>
      <c r="FK50" s="324"/>
      <c r="FL50" s="324"/>
      <c r="FM50" s="324"/>
      <c r="FN50" s="324"/>
      <c r="FO50" s="324"/>
      <c r="FP50" s="324"/>
      <c r="FQ50" s="324"/>
      <c r="FR50" s="324"/>
      <c r="FS50" s="324"/>
      <c r="FT50" s="324"/>
      <c r="FU50" s="324"/>
      <c r="FV50" s="324"/>
      <c r="FW50" s="324"/>
      <c r="FX50" s="324"/>
      <c r="FY50" s="324"/>
      <c r="FZ50" s="324"/>
      <c r="GA50" s="324"/>
      <c r="GB50" s="324"/>
      <c r="GC50" s="324"/>
      <c r="GD50" s="324"/>
      <c r="GE50" s="324"/>
      <c r="GF50" s="324"/>
      <c r="GG50" s="324"/>
      <c r="GH50" s="324"/>
      <c r="GI50" s="324"/>
      <c r="GJ50" s="324"/>
      <c r="GK50" s="324"/>
      <c r="GL50" s="324"/>
      <c r="GM50" s="324"/>
      <c r="GN50" s="324"/>
      <c r="GO50" s="324"/>
      <c r="GP50" s="324"/>
      <c r="GQ50" s="324"/>
      <c r="GR50" s="324"/>
      <c r="GS50" s="324"/>
      <c r="GT50" s="324"/>
      <c r="GU50" s="324"/>
      <c r="GV50" s="324"/>
      <c r="GW50" s="324"/>
      <c r="GX50" s="324"/>
      <c r="GY50" s="324"/>
      <c r="GZ50" s="324"/>
      <c r="HA50" s="324"/>
      <c r="HB50" s="324"/>
      <c r="HC50" s="324"/>
      <c r="HD50" s="324"/>
      <c r="HE50" s="324"/>
      <c r="HF50" s="324"/>
      <c r="HG50" s="324"/>
      <c r="HH50" s="324"/>
      <c r="HI50" s="324"/>
      <c r="HJ50" s="324"/>
      <c r="HK50" s="324"/>
      <c r="HL50" s="324"/>
      <c r="HM50" s="324"/>
      <c r="HN50" s="324"/>
      <c r="HO50" s="324"/>
      <c r="HP50" s="324"/>
      <c r="HQ50" s="324"/>
      <c r="HR50" s="324"/>
      <c r="HS50" s="324"/>
      <c r="HT50" s="324"/>
      <c r="HU50" s="324"/>
      <c r="HV50" s="324"/>
      <c r="HW50" s="324"/>
      <c r="HX50" s="324"/>
      <c r="HY50" s="324"/>
      <c r="HZ50" s="324"/>
      <c r="IA50" s="324"/>
      <c r="IB50" s="324"/>
      <c r="IC50" s="324"/>
      <c r="ID50" s="324"/>
      <c r="IE50" s="324"/>
      <c r="IF50" s="324"/>
      <c r="IG50" s="324"/>
      <c r="IH50" s="324"/>
      <c r="II50" s="324"/>
      <c r="IJ50" s="324"/>
      <c r="IK50" s="324"/>
      <c r="IL50" s="324"/>
      <c r="IM50" s="324"/>
      <c r="IN50" s="324"/>
      <c r="IO50" s="324"/>
      <c r="IP50" s="324"/>
      <c r="IQ50" s="324"/>
      <c r="IR50" s="324"/>
      <c r="IS50" s="324"/>
      <c r="IT50" s="324"/>
      <c r="IU50" s="324"/>
      <c r="IV50" s="324"/>
      <c r="IW50" s="324"/>
      <c r="IX50" s="324"/>
      <c r="IY50" s="324"/>
      <c r="IZ50" s="324"/>
      <c r="JA50" s="324"/>
      <c r="JB50" s="324"/>
      <c r="JC50" s="324"/>
      <c r="JD50" s="324"/>
      <c r="JE50" s="324"/>
      <c r="JF50" s="324"/>
      <c r="JG50" s="324"/>
      <c r="JH50" s="324"/>
      <c r="JI50" s="324"/>
      <c r="JJ50" s="324"/>
      <c r="JK50" s="324"/>
      <c r="JL50" s="324"/>
      <c r="JM50" s="324"/>
      <c r="JN50" s="324"/>
      <c r="JO50" s="324"/>
      <c r="JP50" s="324"/>
    </row>
    <row r="51" spans="1:276" ht="12" customHeight="1" thickBot="1">
      <c r="A51" s="27"/>
      <c r="B51" s="27"/>
      <c r="C51" s="22"/>
      <c r="D51" s="22"/>
      <c r="E51" s="22"/>
      <c r="F51" s="22"/>
      <c r="G51" s="22"/>
      <c r="H51" s="22"/>
      <c r="I51" s="22"/>
      <c r="J51" s="328"/>
      <c r="K51" s="329"/>
      <c r="L51" s="329"/>
      <c r="M51" s="329"/>
      <c r="N51" s="329"/>
      <c r="O51" s="329"/>
      <c r="P51" s="329"/>
      <c r="Q51" s="329"/>
      <c r="R51" s="330"/>
      <c r="S51" s="331"/>
      <c r="T51" s="331"/>
      <c r="U51" s="331"/>
      <c r="V51" s="331"/>
      <c r="W51" s="331"/>
      <c r="X51" s="331"/>
      <c r="Y51" s="332"/>
      <c r="Z51" s="323"/>
      <c r="AA51" s="327"/>
      <c r="AB51" s="327"/>
      <c r="AC51" s="327"/>
      <c r="AD51" s="327"/>
      <c r="AE51" s="327"/>
      <c r="AF51" s="327"/>
      <c r="AG51" s="323"/>
      <c r="AH51" s="330"/>
      <c r="AI51" s="331"/>
      <c r="AJ51" s="331"/>
      <c r="AK51" s="331"/>
      <c r="AL51" s="331"/>
      <c r="AM51" s="331"/>
      <c r="AN51" s="331"/>
      <c r="AO51" s="331"/>
      <c r="AP51" s="330"/>
      <c r="AQ51" s="331"/>
      <c r="AR51" s="331"/>
      <c r="AS51" s="331"/>
      <c r="AT51" s="331"/>
      <c r="AU51" s="331"/>
      <c r="AV51" s="331"/>
      <c r="AW51" s="332"/>
      <c r="AX51" s="323"/>
      <c r="AY51" s="323"/>
      <c r="AZ51" s="323"/>
      <c r="BA51" s="323"/>
      <c r="BB51" s="323"/>
      <c r="BC51" s="323"/>
      <c r="BD51" s="323"/>
      <c r="BE51" s="323"/>
      <c r="BF51" s="323"/>
      <c r="BG51" s="323"/>
      <c r="BH51" s="324"/>
      <c r="BI51" s="324"/>
      <c r="BJ51" s="325"/>
      <c r="BK51" s="325"/>
      <c r="BL51" s="325"/>
      <c r="BM51" s="325"/>
      <c r="BN51" s="325"/>
      <c r="BO51" s="325"/>
      <c r="BP51" s="325"/>
      <c r="BQ51" s="325"/>
      <c r="BR51" s="324"/>
      <c r="BS51" s="324"/>
      <c r="BT51" s="324"/>
      <c r="BU51" s="324"/>
      <c r="BV51" s="324"/>
      <c r="BW51" s="324"/>
      <c r="BX51" s="324"/>
      <c r="BY51" s="324"/>
      <c r="BZ51" s="324"/>
      <c r="CA51" s="324"/>
      <c r="CB51" s="324"/>
      <c r="CC51" s="324"/>
      <c r="CD51" s="324"/>
      <c r="CE51" s="324"/>
      <c r="CF51" s="324"/>
      <c r="CG51" s="324"/>
      <c r="CH51" s="324"/>
      <c r="CI51" s="324"/>
      <c r="CJ51" s="324"/>
      <c r="CK51" s="324"/>
      <c r="CL51" s="324"/>
      <c r="CM51" s="324"/>
      <c r="CN51" s="324"/>
      <c r="CO51" s="324"/>
      <c r="CP51" s="324"/>
      <c r="CQ51" s="324"/>
      <c r="CR51" s="324"/>
      <c r="CS51" s="324"/>
      <c r="CT51" s="324"/>
      <c r="CU51" s="324"/>
      <c r="CV51" s="324"/>
      <c r="CW51" s="324"/>
      <c r="CX51" s="324"/>
      <c r="CY51" s="324"/>
      <c r="CZ51" s="324"/>
      <c r="DA51" s="324"/>
      <c r="DB51" s="324"/>
      <c r="DC51" s="324"/>
      <c r="DD51" s="324"/>
      <c r="DE51" s="324"/>
      <c r="DF51" s="324"/>
      <c r="DG51" s="324"/>
      <c r="DH51" s="324"/>
      <c r="DI51" s="324"/>
      <c r="DJ51" s="324"/>
      <c r="DK51" s="324"/>
      <c r="DL51" s="324"/>
      <c r="DM51" s="324"/>
      <c r="DN51" s="324"/>
      <c r="DO51" s="324"/>
      <c r="DP51" s="324"/>
      <c r="DQ51" s="324"/>
      <c r="DR51" s="324"/>
      <c r="DS51" s="324"/>
      <c r="DT51" s="324"/>
      <c r="DU51" s="324"/>
      <c r="DV51" s="324"/>
      <c r="DW51" s="324"/>
      <c r="DX51" s="324"/>
      <c r="DY51" s="324"/>
      <c r="DZ51" s="324"/>
      <c r="EA51" s="324"/>
      <c r="EB51" s="324"/>
      <c r="EC51" s="324"/>
      <c r="ED51" s="324"/>
      <c r="EE51" s="324"/>
      <c r="EF51" s="324"/>
      <c r="EG51" s="324"/>
      <c r="EH51" s="324"/>
      <c r="EI51" s="324"/>
      <c r="EJ51" s="324"/>
      <c r="EK51" s="324"/>
      <c r="EL51" s="324"/>
      <c r="EM51" s="324"/>
      <c r="EN51" s="324"/>
      <c r="EO51" s="324"/>
      <c r="EP51" s="324"/>
      <c r="EQ51" s="324"/>
      <c r="ER51" s="324"/>
      <c r="ES51" s="324"/>
      <c r="ET51" s="324"/>
      <c r="EU51" s="324"/>
      <c r="EV51" s="324"/>
      <c r="EW51" s="324"/>
      <c r="EX51" s="324"/>
      <c r="EY51" s="324"/>
      <c r="EZ51" s="324"/>
      <c r="FA51" s="324"/>
      <c r="FB51" s="324"/>
      <c r="FC51" s="324"/>
      <c r="FD51" s="324"/>
      <c r="FE51" s="324"/>
      <c r="FF51" s="324"/>
      <c r="FG51" s="324"/>
      <c r="FH51" s="324"/>
      <c r="FI51" s="324"/>
      <c r="FJ51" s="324"/>
      <c r="FK51" s="324"/>
      <c r="FL51" s="324"/>
      <c r="FM51" s="324"/>
      <c r="FN51" s="324"/>
      <c r="FO51" s="324"/>
      <c r="FP51" s="324"/>
      <c r="FQ51" s="324"/>
      <c r="FR51" s="324"/>
      <c r="FS51" s="324"/>
      <c r="FT51" s="324"/>
      <c r="FU51" s="324"/>
      <c r="FV51" s="324"/>
      <c r="FW51" s="324"/>
      <c r="FX51" s="324"/>
      <c r="FY51" s="324"/>
      <c r="FZ51" s="324"/>
      <c r="GA51" s="324"/>
      <c r="GB51" s="324"/>
      <c r="GC51" s="324"/>
      <c r="GD51" s="324"/>
      <c r="GE51" s="324"/>
      <c r="GF51" s="324"/>
      <c r="GG51" s="324"/>
      <c r="GH51" s="324"/>
      <c r="GI51" s="324"/>
      <c r="GJ51" s="324"/>
      <c r="GK51" s="324"/>
      <c r="GL51" s="324"/>
      <c r="GM51" s="324"/>
      <c r="GN51" s="324"/>
      <c r="GO51" s="324"/>
      <c r="GP51" s="324"/>
      <c r="GQ51" s="324"/>
      <c r="GR51" s="324"/>
      <c r="GS51" s="324"/>
      <c r="GT51" s="324"/>
      <c r="GU51" s="324"/>
      <c r="GV51" s="324"/>
      <c r="GW51" s="324"/>
      <c r="GX51" s="324"/>
      <c r="GY51" s="324"/>
      <c r="GZ51" s="324"/>
      <c r="HA51" s="324"/>
      <c r="HB51" s="324"/>
      <c r="HC51" s="324"/>
      <c r="HD51" s="324"/>
      <c r="HE51" s="324"/>
      <c r="HF51" s="324"/>
      <c r="HG51" s="324"/>
      <c r="HH51" s="324"/>
      <c r="HI51" s="324"/>
      <c r="HJ51" s="324"/>
      <c r="HK51" s="324"/>
      <c r="HL51" s="324"/>
      <c r="HM51" s="324"/>
      <c r="HN51" s="324"/>
      <c r="HO51" s="324"/>
      <c r="HP51" s="324"/>
      <c r="HQ51" s="324"/>
      <c r="HR51" s="324"/>
      <c r="HS51" s="324"/>
      <c r="HT51" s="324"/>
      <c r="HU51" s="324"/>
      <c r="HV51" s="324"/>
      <c r="HW51" s="324"/>
      <c r="HX51" s="324"/>
      <c r="HY51" s="324"/>
      <c r="HZ51" s="324"/>
      <c r="IA51" s="324"/>
      <c r="IB51" s="324"/>
      <c r="IC51" s="324"/>
      <c r="ID51" s="324"/>
      <c r="IE51" s="324"/>
      <c r="IF51" s="324"/>
      <c r="IG51" s="324"/>
      <c r="IH51" s="324"/>
      <c r="II51" s="324"/>
      <c r="IJ51" s="324"/>
      <c r="IK51" s="324"/>
      <c r="IL51" s="324"/>
      <c r="IM51" s="324"/>
      <c r="IN51" s="324"/>
      <c r="IO51" s="324"/>
      <c r="IP51" s="324"/>
      <c r="IQ51" s="324"/>
      <c r="IR51" s="324"/>
      <c r="IS51" s="324"/>
      <c r="IT51" s="324"/>
      <c r="IU51" s="324"/>
      <c r="IV51" s="324"/>
      <c r="IW51" s="324"/>
      <c r="IX51" s="324"/>
      <c r="IY51" s="324"/>
      <c r="IZ51" s="324"/>
      <c r="JA51" s="324"/>
      <c r="JB51" s="324"/>
      <c r="JC51" s="324"/>
      <c r="JD51" s="324"/>
      <c r="JE51" s="324"/>
      <c r="JF51" s="324"/>
      <c r="JG51" s="324"/>
      <c r="JH51" s="324"/>
      <c r="JI51" s="324"/>
      <c r="JJ51" s="324"/>
      <c r="JK51" s="324"/>
      <c r="JL51" s="324"/>
      <c r="JM51" s="324"/>
      <c r="JN51" s="324"/>
      <c r="JO51" s="324"/>
      <c r="JP51" s="324"/>
    </row>
    <row r="52" spans="1:276" ht="12" customHeight="1">
      <c r="A52" s="44"/>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49" t="s">
        <v>186</v>
      </c>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276" ht="12" customHeight="1" thickBot="1">
      <c r="A53" s="22"/>
      <c r="B53" s="22"/>
      <c r="C53" s="22"/>
      <c r="D53" s="22"/>
      <c r="E53" s="22"/>
      <c r="F53" s="22"/>
      <c r="G53" s="22"/>
      <c r="H53" s="22"/>
      <c r="I53" s="22"/>
      <c r="J53" s="17"/>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276" ht="12" customHeight="1">
      <c r="A54" s="22"/>
      <c r="B54" s="18"/>
      <c r="C54" s="19"/>
      <c r="D54" s="19"/>
      <c r="E54" s="19"/>
      <c r="F54" s="19"/>
      <c r="G54" s="19"/>
      <c r="H54" s="19"/>
      <c r="I54" s="19"/>
      <c r="J54" s="50" t="s">
        <v>13</v>
      </c>
      <c r="K54" s="19"/>
      <c r="L54" s="19"/>
      <c r="M54" s="19"/>
      <c r="N54" s="19"/>
      <c r="O54" s="19"/>
      <c r="P54" s="19"/>
      <c r="Q54" s="19"/>
      <c r="R54" s="19"/>
      <c r="S54" s="19"/>
      <c r="T54" s="19"/>
      <c r="U54" s="19"/>
      <c r="V54" s="19"/>
      <c r="W54" s="19"/>
      <c r="X54" s="19"/>
      <c r="Y54" s="19"/>
      <c r="Z54" s="20"/>
      <c r="AA54" s="44">
        <v>0</v>
      </c>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276" ht="12" customHeight="1">
      <c r="A55" s="22"/>
      <c r="B55" s="21"/>
      <c r="C55" s="22"/>
      <c r="D55" s="22"/>
      <c r="E55" s="22"/>
      <c r="F55" s="22"/>
      <c r="G55" s="22"/>
      <c r="H55" s="22"/>
      <c r="I55" s="22"/>
      <c r="J55" s="132" t="s">
        <v>182</v>
      </c>
      <c r="K55" s="133"/>
      <c r="L55" s="133"/>
      <c r="M55" s="133"/>
      <c r="N55" s="133"/>
      <c r="O55" s="133"/>
      <c r="P55" s="133"/>
      <c r="Q55" s="133"/>
      <c r="R55" s="133"/>
      <c r="S55" s="133"/>
      <c r="T55" s="133"/>
      <c r="U55" s="133"/>
      <c r="V55" s="133"/>
      <c r="W55" s="133"/>
      <c r="X55" s="133"/>
      <c r="Y55" s="134"/>
      <c r="Z55" s="23"/>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I55" t="s">
        <v>189</v>
      </c>
    </row>
    <row r="56" spans="1:276" ht="12" customHeight="1">
      <c r="A56" s="22"/>
      <c r="B56" s="21"/>
      <c r="C56" s="22"/>
      <c r="D56" s="22"/>
      <c r="E56" s="22"/>
      <c r="F56" s="22"/>
      <c r="G56" s="22"/>
      <c r="H56" s="22"/>
      <c r="I56" s="22"/>
      <c r="J56" s="135"/>
      <c r="K56" s="136"/>
      <c r="L56" s="136"/>
      <c r="M56" s="136"/>
      <c r="N56" s="136"/>
      <c r="O56" s="136"/>
      <c r="P56" s="136"/>
      <c r="Q56" s="136"/>
      <c r="R56" s="136"/>
      <c r="S56" s="136"/>
      <c r="T56" s="136"/>
      <c r="U56" s="136"/>
      <c r="V56" s="136"/>
      <c r="W56" s="136"/>
      <c r="X56" s="136"/>
      <c r="Y56" s="137"/>
      <c r="Z56" s="23"/>
      <c r="AA56" s="22"/>
      <c r="AB56" s="22"/>
      <c r="AC56" s="22"/>
      <c r="AD56" s="22"/>
      <c r="AE56" s="144" t="s">
        <v>14</v>
      </c>
      <c r="AF56" s="145"/>
      <c r="AG56" s="145"/>
      <c r="AH56" s="145"/>
      <c r="AI56" s="145"/>
      <c r="AJ56" s="145"/>
      <c r="AK56" s="145"/>
      <c r="AL56" s="145"/>
      <c r="AM56" s="145"/>
      <c r="AN56" s="145"/>
      <c r="AO56" s="145"/>
      <c r="AP56" s="145"/>
      <c r="AQ56" s="145"/>
      <c r="AR56" s="145"/>
      <c r="AS56" s="145"/>
      <c r="AT56" s="145"/>
      <c r="AU56" s="145"/>
      <c r="AV56" s="145"/>
      <c r="AW56" s="17"/>
      <c r="AX56" s="17"/>
      <c r="AY56" s="17"/>
      <c r="AZ56" s="17"/>
      <c r="BA56" s="22"/>
      <c r="BB56" s="22"/>
      <c r="BC56" s="22"/>
      <c r="BD56" s="22"/>
      <c r="BE56" s="22"/>
      <c r="BF56" s="22"/>
      <c r="BG56" s="22"/>
      <c r="BI56" t="s">
        <v>190</v>
      </c>
    </row>
    <row r="57" spans="1:276" ht="12" customHeight="1" thickBot="1">
      <c r="A57" s="22"/>
      <c r="B57" s="24"/>
      <c r="C57" s="25"/>
      <c r="D57" s="25"/>
      <c r="E57" s="25"/>
      <c r="F57" s="25"/>
      <c r="G57" s="25"/>
      <c r="H57" s="25"/>
      <c r="I57" s="25"/>
      <c r="J57" s="25"/>
      <c r="K57" s="25"/>
      <c r="L57" s="25"/>
      <c r="M57" s="25"/>
      <c r="N57" s="25"/>
      <c r="O57" s="25"/>
      <c r="P57" s="25"/>
      <c r="Q57" s="25"/>
      <c r="R57" s="25"/>
      <c r="S57" s="25"/>
      <c r="T57" s="25"/>
      <c r="U57" s="25"/>
      <c r="V57" s="25"/>
      <c r="W57" s="25"/>
      <c r="X57" s="25"/>
      <c r="Y57" s="25"/>
      <c r="Z57" s="26"/>
      <c r="AA57" s="46">
        <v>1</v>
      </c>
      <c r="AB57" s="22"/>
      <c r="AC57" s="22"/>
      <c r="AD57" s="22"/>
      <c r="AE57" s="22"/>
      <c r="AF57" s="22"/>
      <c r="AG57" s="22"/>
      <c r="AH57" s="48"/>
      <c r="AI57" s="48"/>
      <c r="AJ57" s="48"/>
      <c r="AK57" s="48"/>
      <c r="AL57" s="48"/>
      <c r="AM57" s="48"/>
      <c r="AN57" s="48"/>
      <c r="AO57" s="48"/>
      <c r="AP57" s="48"/>
      <c r="AQ57" s="48"/>
      <c r="AR57" s="48"/>
      <c r="AS57" s="48"/>
      <c r="AT57" s="48"/>
      <c r="AU57" s="48"/>
      <c r="AV57" s="48"/>
      <c r="AW57" s="48"/>
      <c r="AX57" s="48"/>
      <c r="AY57" s="48"/>
      <c r="AZ57" s="48"/>
      <c r="BA57" s="22"/>
      <c r="BB57" s="22"/>
      <c r="BC57" s="22"/>
      <c r="BD57" s="22"/>
      <c r="BE57" s="22"/>
      <c r="BF57" s="22"/>
      <c r="BG57" s="22"/>
    </row>
    <row r="58" spans="1:276" ht="12.95" customHeigh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276" ht="12.95" customHeight="1">
      <c r="Z59">
        <v>1</v>
      </c>
    </row>
    <row r="73" spans="1:1">
      <c r="A73" s="39" t="s">
        <v>225</v>
      </c>
    </row>
    <row r="83" spans="26:26">
      <c r="Z83">
        <v>1</v>
      </c>
    </row>
    <row r="104" spans="26:26">
      <c r="Z104">
        <v>1</v>
      </c>
    </row>
  </sheetData>
  <mergeCells count="117">
    <mergeCell ref="Z23:AC25"/>
    <mergeCell ref="BB23:BE25"/>
    <mergeCell ref="AD23:AG25"/>
    <mergeCell ref="AH23:AK25"/>
    <mergeCell ref="E22:L22"/>
    <mergeCell ref="AO21:AV22"/>
    <mergeCell ref="AL23:AO25"/>
    <mergeCell ref="AP23:AS25"/>
    <mergeCell ref="AT23:AW25"/>
    <mergeCell ref="AX23:BA25"/>
    <mergeCell ref="M21:U22"/>
    <mergeCell ref="AP9:AW13"/>
    <mergeCell ref="AX9:BE13"/>
    <mergeCell ref="B2:AK4"/>
    <mergeCell ref="AP7:AW8"/>
    <mergeCell ref="AX7:BE8"/>
    <mergeCell ref="AQ2:AT3"/>
    <mergeCell ref="AU2:BE3"/>
    <mergeCell ref="E5:AK6"/>
    <mergeCell ref="W11:AM12"/>
    <mergeCell ref="W7:AE8"/>
    <mergeCell ref="E7:M8"/>
    <mergeCell ref="AG7:AM8"/>
    <mergeCell ref="O7:U8"/>
    <mergeCell ref="AQ4:AT5"/>
    <mergeCell ref="AU4:BE5"/>
    <mergeCell ref="E11:M12"/>
    <mergeCell ref="O11:U12"/>
    <mergeCell ref="AL2:AO3"/>
    <mergeCell ref="AL4:AO5"/>
    <mergeCell ref="BB29:BE31"/>
    <mergeCell ref="E29:I31"/>
    <mergeCell ref="J29:M31"/>
    <mergeCell ref="N29:Q31"/>
    <mergeCell ref="R29:U31"/>
    <mergeCell ref="V29:Y31"/>
    <mergeCell ref="Z29:AC31"/>
    <mergeCell ref="BB26:BE28"/>
    <mergeCell ref="E26:I28"/>
    <mergeCell ref="AD29:AG31"/>
    <mergeCell ref="AH29:AK31"/>
    <mergeCell ref="AL29:AO31"/>
    <mergeCell ref="AP29:AS31"/>
    <mergeCell ref="AT29:AW31"/>
    <mergeCell ref="AX29:BA31"/>
    <mergeCell ref="Z26:AC28"/>
    <mergeCell ref="AD26:AG28"/>
    <mergeCell ref="AT32:AW34"/>
    <mergeCell ref="BB35:BE37"/>
    <mergeCell ref="AD35:AG37"/>
    <mergeCell ref="AH35:AK37"/>
    <mergeCell ref="AL35:AO37"/>
    <mergeCell ref="AP35:AS37"/>
    <mergeCell ref="AT35:AW37"/>
    <mergeCell ref="AX35:BA37"/>
    <mergeCell ref="AX32:BA34"/>
    <mergeCell ref="BB32:BE34"/>
    <mergeCell ref="AH32:AK34"/>
    <mergeCell ref="C15:I16"/>
    <mergeCell ref="E38:I40"/>
    <mergeCell ref="J38:M40"/>
    <mergeCell ref="N38:Q40"/>
    <mergeCell ref="R38:U40"/>
    <mergeCell ref="V38:Y40"/>
    <mergeCell ref="Z38:AC40"/>
    <mergeCell ref="AD38:AG40"/>
    <mergeCell ref="AH38:AK40"/>
    <mergeCell ref="AH26:AK28"/>
    <mergeCell ref="R32:U34"/>
    <mergeCell ref="V32:Y34"/>
    <mergeCell ref="Z32:AC34"/>
    <mergeCell ref="J26:M28"/>
    <mergeCell ref="E32:I34"/>
    <mergeCell ref="J32:M34"/>
    <mergeCell ref="N32:Q34"/>
    <mergeCell ref="E17:BE18"/>
    <mergeCell ref="E19:BE20"/>
    <mergeCell ref="E23:I25"/>
    <mergeCell ref="J23:M25"/>
    <mergeCell ref="N23:Q25"/>
    <mergeCell ref="R23:U25"/>
    <mergeCell ref="V23:Y25"/>
    <mergeCell ref="J55:Y56"/>
    <mergeCell ref="J45:Q46"/>
    <mergeCell ref="R45:Y46"/>
    <mergeCell ref="AH45:AO46"/>
    <mergeCell ref="AP45:AW46"/>
    <mergeCell ref="J47:Q51"/>
    <mergeCell ref="R47:Y51"/>
    <mergeCell ref="AH47:AO51"/>
    <mergeCell ref="AP47:AW51"/>
    <mergeCell ref="AA50:AF51"/>
    <mergeCell ref="AE56:AV56"/>
    <mergeCell ref="I43:AB44"/>
    <mergeCell ref="AH42:AP43"/>
    <mergeCell ref="AQ42:BC43"/>
    <mergeCell ref="AT38:AW40"/>
    <mergeCell ref="AX38:BA40"/>
    <mergeCell ref="AP26:AS28"/>
    <mergeCell ref="AT26:AW28"/>
    <mergeCell ref="AX26:BA28"/>
    <mergeCell ref="N26:Q28"/>
    <mergeCell ref="R26:U28"/>
    <mergeCell ref="V26:Y28"/>
    <mergeCell ref="AD32:AG34"/>
    <mergeCell ref="E35:I37"/>
    <mergeCell ref="V35:Y37"/>
    <mergeCell ref="Z35:AC37"/>
    <mergeCell ref="BB38:BE40"/>
    <mergeCell ref="J35:M37"/>
    <mergeCell ref="N35:Q37"/>
    <mergeCell ref="R35:U37"/>
    <mergeCell ref="AP38:AS40"/>
    <mergeCell ref="AL38:AO40"/>
    <mergeCell ref="AL32:AO34"/>
    <mergeCell ref="AL26:AO28"/>
    <mergeCell ref="AP32:AS34"/>
  </mergeCells>
  <phoneticPr fontId="1"/>
  <conditionalFormatting sqref="AG7 AN7:AO8">
    <cfRule type="cellIs" dxfId="164" priority="256" operator="equal">
      <formula>"未選択"</formula>
    </cfRule>
    <cfRule type="cellIs" dxfId="163" priority="261" operator="equal">
      <formula>"選択済"</formula>
    </cfRule>
  </conditionalFormatting>
  <conditionalFormatting sqref="O7">
    <cfRule type="cellIs" dxfId="162" priority="254" operator="equal">
      <formula>"未選択"</formula>
    </cfRule>
    <cfRule type="cellIs" dxfId="161" priority="255" operator="equal">
      <formula>"選択済"</formula>
    </cfRule>
  </conditionalFormatting>
  <conditionalFormatting sqref="J23">
    <cfRule type="expression" dxfId="160" priority="174">
      <formula>$AF$7=3</formula>
    </cfRule>
    <cfRule type="expression" dxfId="159" priority="246">
      <formula>$AF$7=2</formula>
    </cfRule>
  </conditionalFormatting>
  <conditionalFormatting sqref="R23">
    <cfRule type="expression" dxfId="158" priority="172">
      <formula>$AF$7=3</formula>
    </cfRule>
    <cfRule type="expression" dxfId="157" priority="244">
      <formula>$AF$7=2</formula>
    </cfRule>
  </conditionalFormatting>
  <conditionalFormatting sqref="N23">
    <cfRule type="expression" dxfId="156" priority="173">
      <formula>$AF$7=3</formula>
    </cfRule>
    <cfRule type="expression" dxfId="155" priority="243">
      <formula>$AF$7=2</formula>
    </cfRule>
  </conditionalFormatting>
  <conditionalFormatting sqref="V23">
    <cfRule type="expression" dxfId="154" priority="242">
      <formula>$AF$7=2</formula>
    </cfRule>
  </conditionalFormatting>
  <conditionalFormatting sqref="Z23">
    <cfRule type="expression" dxfId="153" priority="241">
      <formula>$AF$7=3</formula>
    </cfRule>
  </conditionalFormatting>
  <conditionalFormatting sqref="AD23">
    <cfRule type="expression" dxfId="152" priority="240">
      <formula>$AF$7=3</formula>
    </cfRule>
  </conditionalFormatting>
  <conditionalFormatting sqref="AH23">
    <cfRule type="expression" dxfId="151" priority="239">
      <formula>$AF$7=3</formula>
    </cfRule>
  </conditionalFormatting>
  <conditionalFormatting sqref="AL23">
    <cfRule type="expression" dxfId="150" priority="238">
      <formula>$AF$7=3</formula>
    </cfRule>
  </conditionalFormatting>
  <conditionalFormatting sqref="AP23">
    <cfRule type="expression" dxfId="149" priority="237">
      <formula>$AF$7=3</formula>
    </cfRule>
  </conditionalFormatting>
  <conditionalFormatting sqref="AT23">
    <cfRule type="expression" dxfId="148" priority="236">
      <formula>$AF$7=3</formula>
    </cfRule>
  </conditionalFormatting>
  <conditionalFormatting sqref="AX23">
    <cfRule type="expression" dxfId="147" priority="235">
      <formula>$AF$7=3</formula>
    </cfRule>
  </conditionalFormatting>
  <conditionalFormatting sqref="AO21">
    <cfRule type="cellIs" dxfId="146" priority="232" operator="equal">
      <formula>"保護解除中"</formula>
    </cfRule>
    <cfRule type="cellIs" dxfId="145" priority="233" operator="equal">
      <formula>"シート保護中"</formula>
    </cfRule>
  </conditionalFormatting>
  <conditionalFormatting sqref="O11:U12">
    <cfRule type="cellIs" dxfId="144" priority="218" operator="equal">
      <formula>"－"</formula>
    </cfRule>
    <cfRule type="cellIs" dxfId="143" priority="222" operator="equal">
      <formula>"12月"</formula>
    </cfRule>
    <cfRule type="cellIs" dxfId="142" priority="223" operator="equal">
      <formula>"8月"</formula>
    </cfRule>
    <cfRule type="cellIs" dxfId="141" priority="228" operator="equal">
      <formula>"2月"</formula>
    </cfRule>
    <cfRule type="cellIs" dxfId="140" priority="229" operator="equal">
      <formula>"6月"</formula>
    </cfRule>
    <cfRule type="cellIs" dxfId="139" priority="230" operator="equal">
      <formula>"申請月外"</formula>
    </cfRule>
  </conditionalFormatting>
  <conditionalFormatting sqref="AU2:BE3">
    <cfRule type="cellIs" dxfId="138" priority="197" operator="equal">
      <formula>"未設定"</formula>
    </cfRule>
    <cfRule type="cellIs" dxfId="137" priority="219" operator="notEqual">
      <formula>"年月日入力"</formula>
    </cfRule>
    <cfRule type="cellIs" dxfId="136" priority="221" operator="equal">
      <formula>"年月日入力"</formula>
    </cfRule>
  </conditionalFormatting>
  <conditionalFormatting sqref="AQ42">
    <cfRule type="notContainsText" dxfId="135" priority="224" operator="notContains" text="申請月外-設定無">
      <formula>ISERROR(SEARCH("申請月外-設定無",AQ42))</formula>
    </cfRule>
    <cfRule type="cellIs" dxfId="134" priority="227" operator="equal">
      <formula>"申請月外-設定無"</formula>
    </cfRule>
  </conditionalFormatting>
  <conditionalFormatting sqref="AL4:AO5">
    <cfRule type="cellIs" dxfId="133" priority="206" operator="equal">
      <formula>"12月"</formula>
    </cfRule>
    <cfRule type="cellIs" dxfId="132" priority="207" operator="equal">
      <formula>"11月"</formula>
    </cfRule>
    <cfRule type="cellIs" dxfId="131" priority="208" operator="equal">
      <formula>"10月"</formula>
    </cfRule>
    <cfRule type="cellIs" dxfId="130" priority="209" operator="equal">
      <formula>"9月"</formula>
    </cfRule>
    <cfRule type="cellIs" dxfId="129" priority="210" operator="equal">
      <formula>"8月"</formula>
    </cfRule>
    <cfRule type="cellIs" dxfId="128" priority="211" operator="equal">
      <formula>"7月"</formula>
    </cfRule>
    <cfRule type="cellIs" dxfId="127" priority="212" operator="equal">
      <formula>"6月"</formula>
    </cfRule>
    <cfRule type="cellIs" dxfId="126" priority="213" operator="equal">
      <formula>"5月"</formula>
    </cfRule>
    <cfRule type="cellIs" dxfId="125" priority="214" operator="equal">
      <formula>"4月"</formula>
    </cfRule>
    <cfRule type="cellIs" dxfId="124" priority="215" operator="equal">
      <formula>"3月"</formula>
    </cfRule>
    <cfRule type="cellIs" dxfId="123" priority="216" operator="equal">
      <formula>"2月"</formula>
    </cfRule>
    <cfRule type="cellIs" dxfId="122" priority="217" operator="equal">
      <formula>"1月"</formula>
    </cfRule>
  </conditionalFormatting>
  <conditionalFormatting sqref="J55:Y56">
    <cfRule type="cellIs" dxfId="121" priority="205" operator="notEqual">
      <formula>""</formula>
    </cfRule>
  </conditionalFormatting>
  <conditionalFormatting sqref="AQ42:BC43">
    <cfRule type="cellIs" dxfId="120" priority="199" stopIfTrue="1" operator="equal">
      <formula>""</formula>
    </cfRule>
    <cfRule type="cellIs" dxfId="119" priority="203" operator="equal">
      <formula>""</formula>
    </cfRule>
  </conditionalFormatting>
  <conditionalFormatting sqref="Z29 AD29 AH29 AL29 AP29 AT29 AX29">
    <cfRule type="expression" dxfId="118" priority="140">
      <formula>$AF$7=2</formula>
    </cfRule>
  </conditionalFormatting>
  <conditionalFormatting sqref="AD38">
    <cfRule type="expression" dxfId="117" priority="48">
      <formula>$AF$7=1</formula>
    </cfRule>
    <cfRule type="expression" dxfId="116" priority="55">
      <formula>$AF$7=""</formula>
    </cfRule>
    <cfRule type="expression" dxfId="115" priority="161">
      <formula>$AF$7=3</formula>
    </cfRule>
    <cfRule type="expression" dxfId="114" priority="185">
      <formula>$AF$7=2</formula>
    </cfRule>
  </conditionalFormatting>
  <conditionalFormatting sqref="Z32 AD32 AH32 AL32 AP32 AT32 AX32">
    <cfRule type="expression" dxfId="113" priority="109">
      <formula>$AF$7=2</formula>
    </cfRule>
    <cfRule type="expression" dxfId="112" priority="110">
      <formula>$AF$7=2</formula>
    </cfRule>
    <cfRule type="expression" dxfId="111" priority="133">
      <formula>$AF$7=2</formula>
    </cfRule>
  </conditionalFormatting>
  <conditionalFormatting sqref="Z23:AC25">
    <cfRule type="expression" dxfId="110" priority="183">
      <formula>$AF$7=2</formula>
    </cfRule>
  </conditionalFormatting>
  <conditionalFormatting sqref="AD23:AG25">
    <cfRule type="expression" dxfId="109" priority="182">
      <formula>$AF$7=2</formula>
    </cfRule>
  </conditionalFormatting>
  <conditionalFormatting sqref="AH23:AK25">
    <cfRule type="expression" dxfId="108" priority="181">
      <formula>$AF$7=2</formula>
    </cfRule>
  </conditionalFormatting>
  <conditionalFormatting sqref="AL23:AO25">
    <cfRule type="expression" dxfId="107" priority="180">
      <formula>$AF$7=2</formula>
    </cfRule>
  </conditionalFormatting>
  <conditionalFormatting sqref="AP23:AS25">
    <cfRule type="expression" dxfId="106" priority="179">
      <formula>$AF$7=2</formula>
    </cfRule>
  </conditionalFormatting>
  <conditionalFormatting sqref="AT23:AW25">
    <cfRule type="expression" dxfId="105" priority="178">
      <formula>$AF$7=2</formula>
    </cfRule>
  </conditionalFormatting>
  <conditionalFormatting sqref="AX23:BA25">
    <cfRule type="expression" dxfId="104" priority="177">
      <formula>$AF$7=2</formula>
    </cfRule>
  </conditionalFormatting>
  <conditionalFormatting sqref="BB23:BE25">
    <cfRule type="expression" dxfId="103" priority="168">
      <formula>$AF$7=2</formula>
    </cfRule>
    <cfRule type="expression" dxfId="102" priority="169">
      <formula>$AF$7=3</formula>
    </cfRule>
    <cfRule type="expression" dxfId="101" priority="176">
      <formula>$AF$7=3</formula>
    </cfRule>
  </conditionalFormatting>
  <conditionalFormatting sqref="AF7">
    <cfRule type="expression" dxfId="100" priority="175">
      <formula>$AF$7=3</formula>
    </cfRule>
  </conditionalFormatting>
  <conditionalFormatting sqref="V23:Y25">
    <cfRule type="expression" dxfId="99" priority="171">
      <formula>$AF$7=3</formula>
    </cfRule>
  </conditionalFormatting>
  <conditionalFormatting sqref="N38">
    <cfRule type="expression" dxfId="98" priority="59">
      <formula>$AF$7=""</formula>
    </cfRule>
    <cfRule type="expression" dxfId="97" priority="111">
      <formula>$AF$7=2</formula>
    </cfRule>
    <cfRule type="expression" dxfId="96" priority="113">
      <formula>$AF$7=3</formula>
    </cfRule>
    <cfRule type="expression" dxfId="95" priority="191">
      <formula>$AF$7=1</formula>
    </cfRule>
  </conditionalFormatting>
  <conditionalFormatting sqref="J38">
    <cfRule type="expression" dxfId="94" priority="141">
      <formula>$AF$7=3</formula>
    </cfRule>
    <cfRule type="expression" dxfId="93" priority="156">
      <formula>$AF$7=2</formula>
    </cfRule>
    <cfRule type="expression" dxfId="92" priority="167">
      <formula>$AF$7=""</formula>
    </cfRule>
    <cfRule type="expression" dxfId="91" priority="184">
      <formula>$AF$7=1</formula>
    </cfRule>
    <cfRule type="expression" dxfId="90" priority="189" stopIfTrue="1">
      <formula>$AF$7=0</formula>
    </cfRule>
  </conditionalFormatting>
  <conditionalFormatting sqref="J32 N32 R32 V32 J35 N35 R35 V35 J29 N29 R29 V29">
    <cfRule type="expression" dxfId="89" priority="41">
      <formula xml:space="preserve"> $AF$7 =3</formula>
    </cfRule>
    <cfRule type="cellIs" dxfId="88" priority="157" operator="notEqual">
      <formula>0</formula>
    </cfRule>
  </conditionalFormatting>
  <conditionalFormatting sqref="Z29:BA31">
    <cfRule type="cellIs" dxfId="87" priority="155" operator="notEqual">
      <formula>0</formula>
    </cfRule>
  </conditionalFormatting>
  <conditionalFormatting sqref="AD29:AG31">
    <cfRule type="cellIs" dxfId="86" priority="139" operator="notEqual">
      <formula>0</formula>
    </cfRule>
  </conditionalFormatting>
  <conditionalFormatting sqref="AH29:AK31">
    <cfRule type="cellIs" dxfId="85" priority="138" operator="notEqual">
      <formula>0</formula>
    </cfRule>
  </conditionalFormatting>
  <conditionalFormatting sqref="AL29:AO31">
    <cfRule type="cellIs" dxfId="84" priority="137" operator="notEqual">
      <formula>0</formula>
    </cfRule>
  </conditionalFormatting>
  <conditionalFormatting sqref="AP29:AS31">
    <cfRule type="cellIs" dxfId="83" priority="136" operator="notEqual">
      <formula>0</formula>
    </cfRule>
  </conditionalFormatting>
  <conditionalFormatting sqref="AT29:AW31">
    <cfRule type="cellIs" dxfId="82" priority="135" operator="notEqual">
      <formula>0</formula>
    </cfRule>
  </conditionalFormatting>
  <conditionalFormatting sqref="AX29:BA31">
    <cfRule type="cellIs" dxfId="81" priority="134" operator="notEqual">
      <formula>0</formula>
    </cfRule>
  </conditionalFormatting>
  <conditionalFormatting sqref="Z32:BA34">
    <cfRule type="cellIs" dxfId="80" priority="159" operator="notEqual">
      <formula>0</formula>
    </cfRule>
  </conditionalFormatting>
  <conditionalFormatting sqref="AD32:AG34">
    <cfRule type="cellIs" dxfId="79" priority="132" operator="notEqual">
      <formula>0</formula>
    </cfRule>
  </conditionalFormatting>
  <conditionalFormatting sqref="AH32:AK34">
    <cfRule type="cellIs" dxfId="78" priority="131" operator="notEqual">
      <formula>0</formula>
    </cfRule>
  </conditionalFormatting>
  <conditionalFormatting sqref="AL32:AO34">
    <cfRule type="cellIs" dxfId="77" priority="130" operator="notEqual">
      <formula>0</formula>
    </cfRule>
  </conditionalFormatting>
  <conditionalFormatting sqref="AP32:AS34">
    <cfRule type="cellIs" dxfId="76" priority="129" operator="notEqual">
      <formula>0</formula>
    </cfRule>
  </conditionalFormatting>
  <conditionalFormatting sqref="AT32:AW34">
    <cfRule type="cellIs" dxfId="75" priority="127" operator="notEqual">
      <formula>0</formula>
    </cfRule>
  </conditionalFormatting>
  <conditionalFormatting sqref="AX32:BA34">
    <cfRule type="cellIs" dxfId="74" priority="126" operator="notEqual">
      <formula>0</formula>
    </cfRule>
  </conditionalFormatting>
  <conditionalFormatting sqref="AD35">
    <cfRule type="expression" dxfId="73" priority="104">
      <formula>$AF$7=2</formula>
    </cfRule>
    <cfRule type="cellIs" dxfId="72" priority="124" operator="notEqual">
      <formula>0</formula>
    </cfRule>
  </conditionalFormatting>
  <conditionalFormatting sqref="AH35:AK37">
    <cfRule type="cellIs" dxfId="71" priority="123" operator="notEqual">
      <formula>0</formula>
    </cfRule>
  </conditionalFormatting>
  <conditionalFormatting sqref="AL35:AO37">
    <cfRule type="cellIs" dxfId="70" priority="122" operator="notEqual">
      <formula>0</formula>
    </cfRule>
  </conditionalFormatting>
  <conditionalFormatting sqref="AP35:AS37">
    <cfRule type="cellIs" dxfId="69" priority="121" operator="notEqual">
      <formula>0</formula>
    </cfRule>
  </conditionalFormatting>
  <conditionalFormatting sqref="AT35:AW37">
    <cfRule type="cellIs" dxfId="68" priority="120" operator="notEqual">
      <formula>0</formula>
    </cfRule>
  </conditionalFormatting>
  <conditionalFormatting sqref="AX35:BA37">
    <cfRule type="cellIs" dxfId="67" priority="119" operator="notEqual">
      <formula>0</formula>
    </cfRule>
  </conditionalFormatting>
  <conditionalFormatting sqref="Z35">
    <cfRule type="cellIs" dxfId="66" priority="46" operator="notEqual">
      <formula>0</formula>
    </cfRule>
    <cfRule type="expression" dxfId="65" priority="108">
      <formula>$AF$7=2</formula>
    </cfRule>
  </conditionalFormatting>
  <conditionalFormatting sqref="Z38">
    <cfRule type="expression" dxfId="64" priority="49">
      <formula>$AF$7=1</formula>
    </cfRule>
    <cfRule type="expression" dxfId="63" priority="56">
      <formula>$AF$7=""</formula>
    </cfRule>
    <cfRule type="expression" dxfId="62" priority="107">
      <formula>$AF$7=2</formula>
    </cfRule>
    <cfRule type="cellIs" dxfId="61" priority="125" operator="notEqual">
      <formula>0</formula>
    </cfRule>
    <cfRule type="expression" dxfId="60" priority="187">
      <formula>$AF$7=3</formula>
    </cfRule>
  </conditionalFormatting>
  <conditionalFormatting sqref="AD29">
    <cfRule type="expression" dxfId="59" priority="106">
      <formula>$AF$7=2</formula>
    </cfRule>
  </conditionalFormatting>
  <conditionalFormatting sqref="AD32">
    <cfRule type="expression" dxfId="58" priority="105">
      <formula>$AF$7=2</formula>
    </cfRule>
  </conditionalFormatting>
  <conditionalFormatting sqref="AH29">
    <cfRule type="expression" dxfId="57" priority="103">
      <formula>$AF$7=2</formula>
    </cfRule>
  </conditionalFormatting>
  <conditionalFormatting sqref="AH32">
    <cfRule type="expression" dxfId="56" priority="102">
      <formula>$AF$7=2</formula>
    </cfRule>
  </conditionalFormatting>
  <conditionalFormatting sqref="AH35">
    <cfRule type="expression" dxfId="55" priority="101">
      <formula>$AF$7=2</formula>
    </cfRule>
  </conditionalFormatting>
  <conditionalFormatting sqref="AH38">
    <cfRule type="cellIs" dxfId="54" priority="54" operator="notEqual">
      <formula>0</formula>
    </cfRule>
    <cfRule type="expression" dxfId="53" priority="100">
      <formula>$AF$7=""</formula>
    </cfRule>
    <cfRule type="expression" dxfId="52" priority="118">
      <formula>$AF$7=2</formula>
    </cfRule>
  </conditionalFormatting>
  <conditionalFormatting sqref="AL32">
    <cfRule type="expression" dxfId="51" priority="98">
      <formula>$AF$7=2</formula>
    </cfRule>
    <cfRule type="expression" dxfId="50" priority="99">
      <formula>$AF$7=2</formula>
    </cfRule>
  </conditionalFormatting>
  <conditionalFormatting sqref="AL29">
    <cfRule type="expression" dxfId="49" priority="97">
      <formula>$AF$7=2</formula>
    </cfRule>
  </conditionalFormatting>
  <conditionalFormatting sqref="AL35">
    <cfRule type="expression" dxfId="48" priority="96">
      <formula>$AF$7=2</formula>
    </cfRule>
  </conditionalFormatting>
  <conditionalFormatting sqref="AL38">
    <cfRule type="cellIs" dxfId="47" priority="53" operator="notEqual">
      <formula>0</formula>
    </cfRule>
    <cfRule type="expression" dxfId="46" priority="95">
      <formula>$AF$7=""</formula>
    </cfRule>
    <cfRule type="expression" dxfId="45" priority="117">
      <formula>$AF$7=2</formula>
    </cfRule>
  </conditionalFormatting>
  <conditionalFormatting sqref="AP29">
    <cfRule type="expression" dxfId="44" priority="94">
      <formula>$AF$7=2</formula>
    </cfRule>
  </conditionalFormatting>
  <conditionalFormatting sqref="AP32">
    <cfRule type="expression" dxfId="43" priority="93">
      <formula>$AF$7=2</formula>
    </cfRule>
  </conditionalFormatting>
  <conditionalFormatting sqref="AP35">
    <cfRule type="expression" dxfId="42" priority="92">
      <formula>$AF$7=2</formula>
    </cfRule>
  </conditionalFormatting>
  <conditionalFormatting sqref="AP38">
    <cfRule type="cellIs" dxfId="41" priority="52" operator="notEqual">
      <formula>0</formula>
    </cfRule>
    <cfRule type="expression" dxfId="40" priority="91">
      <formula>$AF$7=""</formula>
    </cfRule>
    <cfRule type="expression" dxfId="39" priority="116">
      <formula>$AF$7=2</formula>
    </cfRule>
  </conditionalFormatting>
  <conditionalFormatting sqref="AT29">
    <cfRule type="expression" dxfId="38" priority="90">
      <formula>$AF$7=2</formula>
    </cfRule>
  </conditionalFormatting>
  <conditionalFormatting sqref="AT32">
    <cfRule type="expression" dxfId="37" priority="89">
      <formula>$AF$7=2</formula>
    </cfRule>
  </conditionalFormatting>
  <conditionalFormatting sqref="AT35">
    <cfRule type="expression" dxfId="36" priority="88">
      <formula>$AF$7=2</formula>
    </cfRule>
  </conditionalFormatting>
  <conditionalFormatting sqref="AX29">
    <cfRule type="expression" dxfId="35" priority="87">
      <formula>$AF$7=2</formula>
    </cfRule>
  </conditionalFormatting>
  <conditionalFormatting sqref="AT38">
    <cfRule type="cellIs" dxfId="34" priority="51" operator="notEqual">
      <formula>0</formula>
    </cfRule>
    <cfRule type="expression" dxfId="33" priority="86">
      <formula>$AF$7=""</formula>
    </cfRule>
    <cfRule type="expression" dxfId="32" priority="115">
      <formula>$AF$7=2</formula>
    </cfRule>
  </conditionalFormatting>
  <conditionalFormatting sqref="AX32">
    <cfRule type="expression" dxfId="31" priority="85">
      <formula>$AF$7=2</formula>
    </cfRule>
  </conditionalFormatting>
  <conditionalFormatting sqref="AX35">
    <cfRule type="expression" dxfId="30" priority="84">
      <formula>$AF$7=2</formula>
    </cfRule>
  </conditionalFormatting>
  <conditionalFormatting sqref="AX38">
    <cfRule type="cellIs" dxfId="29" priority="50" operator="notEqual">
      <formula>0</formula>
    </cfRule>
    <cfRule type="expression" dxfId="28" priority="83">
      <formula>$AF$7=""</formula>
    </cfRule>
    <cfRule type="expression" dxfId="27" priority="114">
      <formula>$AF$7=2</formula>
    </cfRule>
  </conditionalFormatting>
  <conditionalFormatting sqref="R38">
    <cfRule type="expression" dxfId="26" priority="77">
      <formula>$AF$7=3</formula>
    </cfRule>
    <cfRule type="expression" dxfId="25" priority="188">
      <formula>$AF$7=2</formula>
    </cfRule>
  </conditionalFormatting>
  <conditionalFormatting sqref="AD26 AH26 AL26 AP26 AT26 AX26 BB26 J26 N26 R26 V26 Z26 BB29 BB32 BB35 BB38">
    <cfRule type="expression" dxfId="24" priority="27">
      <formula>$AF$7=2</formula>
    </cfRule>
    <cfRule type="expression" dxfId="23" priority="70">
      <formula>$AF$7=""</formula>
    </cfRule>
    <cfRule type="expression" dxfId="22" priority="158">
      <formula>$AF$7=1</formula>
    </cfRule>
    <cfRule type="expression" dxfId="21" priority="164">
      <formula>$AF$7=3</formula>
    </cfRule>
  </conditionalFormatting>
  <conditionalFormatting sqref="AU4:BE5">
    <cfRule type="cellIs" dxfId="20" priority="6" operator="equal">
      <formula>"未選択"</formula>
    </cfRule>
    <cfRule type="cellIs" dxfId="19" priority="7" operator="equal">
      <formula>"本荘工場製品検査"</formula>
    </cfRule>
    <cfRule type="cellIs" dxfId="18" priority="8" operator="equal">
      <formula>"本荘工場測定工程"</formula>
    </cfRule>
    <cfRule type="cellIs" dxfId="17" priority="9" operator="equal">
      <formula>"本荘工場素地検査"</formula>
    </cfRule>
    <cfRule type="cellIs" dxfId="16" priority="10" operator="equal">
      <formula>"北上工場素地検査"</formula>
    </cfRule>
    <cfRule type="cellIs" dxfId="15" priority="11" operator="equal">
      <formula>"北上OCK測定工程"</formula>
    </cfRule>
    <cfRule type="cellIs" dxfId="14" priority="12" operator="equal">
      <formula>"北上OCK製品検査"</formula>
    </cfRule>
  </conditionalFormatting>
  <conditionalFormatting sqref="V38">
    <cfRule type="expression" dxfId="13" priority="1">
      <formula>$AF$7=3</formula>
    </cfRule>
    <cfRule type="expression" dxfId="12" priority="2">
      <formula>$AF$7=""</formula>
    </cfRule>
    <cfRule type="cellIs" dxfId="11" priority="3" operator="notEqual">
      <formula>0</formula>
    </cfRule>
    <cfRule type="expression" dxfId="10" priority="4">
      <formula>$AF$7=2</formula>
    </cfRule>
  </conditionalFormatting>
  <dataValidations count="1">
    <dataValidation type="list" allowBlank="1" showInputMessage="1" showErrorMessage="1" sqref="AU4:BE5" xr:uid="{F5AC72F1-B693-4779-BEEE-F95218ED18C9}">
      <formula1>$BQ$3:$BQ$9</formula1>
    </dataValidation>
  </dataValidations>
  <pageMargins left="0.23622047244094491" right="0.23622047244094491" top="0.74803149606299213" bottom="0.74803149606299213" header="0.31496062992125984" footer="0.31496062992125984"/>
  <pageSetup paperSize="9" orientation="portrait" horizontalDpi="300" verticalDpi="300" r:id="rId1"/>
  <headerFooter>
    <oddHeader>&amp;R&amp;"Calibri"&amp;14&amp;KFF0000 L2: Internal use only&amp;1#_x000D_</oddHeader>
  </headerFooter>
  <colBreaks count="1" manualBreakCount="1">
    <brk id="59" max="56" man="1"/>
  </colBreaks>
  <drawing r:id="rId2"/>
  <legacyDrawing r:id="rId3"/>
  <controls>
    <mc:AlternateContent xmlns:mc="http://schemas.openxmlformats.org/markup-compatibility/2006">
      <mc:Choice Requires="x14">
        <control shapeId="1068" r:id="rId4" name="CommandButton13">
          <controlPr defaultSize="0" autoLine="0" autoPict="0" r:id="rId5">
            <anchor moveWithCells="1">
              <from>
                <xdr:col>21</xdr:col>
                <xdr:colOff>38100</xdr:colOff>
                <xdr:row>20</xdr:row>
                <xdr:rowOff>0</xdr:rowOff>
              </from>
              <to>
                <xdr:col>29</xdr:col>
                <xdr:colOff>57150</xdr:colOff>
                <xdr:row>22</xdr:row>
                <xdr:rowOff>0</xdr:rowOff>
              </to>
            </anchor>
          </controlPr>
        </control>
      </mc:Choice>
      <mc:Fallback>
        <control shapeId="1068" r:id="rId4" name="CommandButton13"/>
      </mc:Fallback>
    </mc:AlternateContent>
    <mc:AlternateContent xmlns:mc="http://schemas.openxmlformats.org/markup-compatibility/2006">
      <mc:Choice Requires="x14">
        <control shapeId="1067" r:id="rId6" name="CommandButton12">
          <controlPr defaultSize="0" disabled="1" autoLine="0" autoPict="0" r:id="rId7">
            <anchor moveWithCells="1">
              <from>
                <xdr:col>40</xdr:col>
                <xdr:colOff>66675</xdr:colOff>
                <xdr:row>14</xdr:row>
                <xdr:rowOff>38100</xdr:rowOff>
              </from>
              <to>
                <xdr:col>48</xdr:col>
                <xdr:colOff>85725</xdr:colOff>
                <xdr:row>16</xdr:row>
                <xdr:rowOff>0</xdr:rowOff>
              </to>
            </anchor>
          </controlPr>
        </control>
      </mc:Choice>
      <mc:Fallback>
        <control shapeId="1067" r:id="rId6" name="CommandButton12"/>
      </mc:Fallback>
    </mc:AlternateContent>
    <mc:AlternateContent xmlns:mc="http://schemas.openxmlformats.org/markup-compatibility/2006">
      <mc:Choice Requires="x14">
        <control shapeId="1066" r:id="rId8" name="CommandButton11">
          <controlPr defaultSize="0" disabled="1" autoLine="0" r:id="rId9">
            <anchor moveWithCells="1">
              <from>
                <xdr:col>49</xdr:col>
                <xdr:colOff>9525</xdr:colOff>
                <xdr:row>14</xdr:row>
                <xdr:rowOff>28575</xdr:rowOff>
              </from>
              <to>
                <xdr:col>57</xdr:col>
                <xdr:colOff>57150</xdr:colOff>
                <xdr:row>16</xdr:row>
                <xdr:rowOff>0</xdr:rowOff>
              </to>
            </anchor>
          </controlPr>
        </control>
      </mc:Choice>
      <mc:Fallback>
        <control shapeId="1066" r:id="rId8" name="CommandButton11"/>
      </mc:Fallback>
    </mc:AlternateContent>
    <mc:AlternateContent xmlns:mc="http://schemas.openxmlformats.org/markup-compatibility/2006">
      <mc:Choice Requires="x14">
        <control shapeId="1059" r:id="rId10" name="CommandButton7">
          <controlPr defaultSize="0" disabled="1" autoLine="0" r:id="rId11">
            <anchor moveWithCells="1">
              <from>
                <xdr:col>48</xdr:col>
                <xdr:colOff>47625</xdr:colOff>
                <xdr:row>55</xdr:row>
                <xdr:rowOff>0</xdr:rowOff>
              </from>
              <to>
                <xdr:col>57</xdr:col>
                <xdr:colOff>19050</xdr:colOff>
                <xdr:row>56</xdr:row>
                <xdr:rowOff>123825</xdr:rowOff>
              </to>
            </anchor>
          </controlPr>
        </control>
      </mc:Choice>
      <mc:Fallback>
        <control shapeId="1059" r:id="rId10" name="CommandButton7"/>
      </mc:Fallback>
    </mc:AlternateContent>
    <mc:AlternateContent xmlns:mc="http://schemas.openxmlformats.org/markup-compatibility/2006">
      <mc:Choice Requires="x14">
        <control shapeId="1058" r:id="rId12" name="CommandButton6">
          <controlPr defaultSize="0" disabled="1" autoLine="0" autoPict="0" r:id="rId13">
            <anchor moveWithCells="1">
              <from>
                <xdr:col>1</xdr:col>
                <xdr:colOff>9525</xdr:colOff>
                <xdr:row>44</xdr:row>
                <xdr:rowOff>161925</xdr:rowOff>
              </from>
              <to>
                <xdr:col>9</xdr:col>
                <xdr:colOff>9525</xdr:colOff>
                <xdr:row>46</xdr:row>
                <xdr:rowOff>95250</xdr:rowOff>
              </to>
            </anchor>
          </controlPr>
        </control>
      </mc:Choice>
      <mc:Fallback>
        <control shapeId="1058" r:id="rId12" name="CommandButton6"/>
      </mc:Fallback>
    </mc:AlternateContent>
    <mc:AlternateContent xmlns:mc="http://schemas.openxmlformats.org/markup-compatibility/2006">
      <mc:Choice Requires="x14">
        <control shapeId="1057" r:id="rId14" name="CommandButton5">
          <controlPr defaultSize="0" disabled="1" autoLine="0" r:id="rId15">
            <anchor moveWithCells="1">
              <from>
                <xdr:col>47</xdr:col>
                <xdr:colOff>66675</xdr:colOff>
                <xdr:row>52</xdr:row>
                <xdr:rowOff>47625</xdr:rowOff>
              </from>
              <to>
                <xdr:col>57</xdr:col>
                <xdr:colOff>19050</xdr:colOff>
                <xdr:row>54</xdr:row>
                <xdr:rowOff>66675</xdr:rowOff>
              </to>
            </anchor>
          </controlPr>
        </control>
      </mc:Choice>
      <mc:Fallback>
        <control shapeId="1057" r:id="rId14" name="CommandButton5"/>
      </mc:Fallback>
    </mc:AlternateContent>
    <mc:AlternateContent xmlns:mc="http://schemas.openxmlformats.org/markup-compatibility/2006">
      <mc:Choice Requires="x14">
        <control shapeId="1033" r:id="rId16" name="CommandButton1">
          <controlPr defaultSize="0" print="0" autoLine="0" autoPict="0" r:id="rId17">
            <anchor moveWithCells="1">
              <from>
                <xdr:col>30</xdr:col>
                <xdr:colOff>9525</xdr:colOff>
                <xdr:row>20</xdr:row>
                <xdr:rowOff>9525</xdr:rowOff>
              </from>
              <to>
                <xdr:col>39</xdr:col>
                <xdr:colOff>66675</xdr:colOff>
                <xdr:row>22</xdr:row>
                <xdr:rowOff>0</xdr:rowOff>
              </to>
            </anchor>
          </controlPr>
        </control>
      </mc:Choice>
      <mc:Fallback>
        <control shapeId="1033" r:id="rId16" name="CommandButton1"/>
      </mc:Fallback>
    </mc:AlternateContent>
    <mc:AlternateContent xmlns:mc="http://schemas.openxmlformats.org/markup-compatibility/2006">
      <mc:Choice Requires="x14">
        <control shapeId="1034" r:id="rId18" name="CommandButton2">
          <controlPr defaultSize="0" print="0" autoLine="0" autoPict="0" r:id="rId19">
            <anchor moveWithCells="1">
              <from>
                <xdr:col>48</xdr:col>
                <xdr:colOff>57150</xdr:colOff>
                <xdr:row>20</xdr:row>
                <xdr:rowOff>9525</xdr:rowOff>
              </from>
              <to>
                <xdr:col>57</xdr:col>
                <xdr:colOff>0</xdr:colOff>
                <xdr:row>21</xdr:row>
                <xdr:rowOff>142875</xdr:rowOff>
              </to>
            </anchor>
          </controlPr>
        </control>
      </mc:Choice>
      <mc:Fallback>
        <control shapeId="1034" r:id="rId18" name="CommandButton2"/>
      </mc:Fallback>
    </mc:AlternateContent>
    <mc:AlternateContent xmlns:mc="http://schemas.openxmlformats.org/markup-compatibility/2006">
      <mc:Choice Requires="x14">
        <control shapeId="1047" r:id="rId20" name="CommandButton3">
          <controlPr defaultSize="0" disabled="1" autoLine="0" r:id="rId21">
            <anchor moveWithCells="1">
              <from>
                <xdr:col>1</xdr:col>
                <xdr:colOff>66675</xdr:colOff>
                <xdr:row>54</xdr:row>
                <xdr:rowOff>0</xdr:rowOff>
              </from>
              <to>
                <xdr:col>9</xdr:col>
                <xdr:colOff>19050</xdr:colOff>
                <xdr:row>55</xdr:row>
                <xdr:rowOff>142875</xdr:rowOff>
              </to>
            </anchor>
          </controlPr>
        </control>
      </mc:Choice>
      <mc:Fallback>
        <control shapeId="1047" r:id="rId20" name="CommandButton3"/>
      </mc:Fallback>
    </mc:AlternateContent>
    <mc:AlternateContent xmlns:mc="http://schemas.openxmlformats.org/markup-compatibility/2006">
      <mc:Choice Requires="x14">
        <control shapeId="1048" r:id="rId22" name="CommandButton4">
          <controlPr defaultSize="0" autoLine="0" r:id="rId23">
            <anchor moveWithCells="1">
              <from>
                <xdr:col>59</xdr:col>
                <xdr:colOff>371475</xdr:colOff>
                <xdr:row>1</xdr:row>
                <xdr:rowOff>9525</xdr:rowOff>
              </from>
              <to>
                <xdr:col>61</xdr:col>
                <xdr:colOff>95250</xdr:colOff>
                <xdr:row>3</xdr:row>
                <xdr:rowOff>76200</xdr:rowOff>
              </to>
            </anchor>
          </controlPr>
        </control>
      </mc:Choice>
      <mc:Fallback>
        <control shapeId="1048" r:id="rId22" name="CommandButton4"/>
      </mc:Fallback>
    </mc:AlternateContent>
    <mc:AlternateContent xmlns:mc="http://schemas.openxmlformats.org/markup-compatibility/2006">
      <mc:Choice Requires="x14">
        <control shapeId="1060" r:id="rId24" name="CommandButton8">
          <controlPr defaultSize="0" disabled="1" autoLine="0" autoPict="0" r:id="rId25">
            <anchor moveWithCells="1">
              <from>
                <xdr:col>25</xdr:col>
                <xdr:colOff>9525</xdr:colOff>
                <xdr:row>44</xdr:row>
                <xdr:rowOff>161925</xdr:rowOff>
              </from>
              <to>
                <xdr:col>32</xdr:col>
                <xdr:colOff>104775</xdr:colOff>
                <xdr:row>46</xdr:row>
                <xdr:rowOff>95250</xdr:rowOff>
              </to>
            </anchor>
          </controlPr>
        </control>
      </mc:Choice>
      <mc:Fallback>
        <control shapeId="1060" r:id="rId24" name="CommandButton8"/>
      </mc:Fallback>
    </mc:AlternateContent>
    <mc:AlternateContent xmlns:mc="http://schemas.openxmlformats.org/markup-compatibility/2006">
      <mc:Choice Requires="x14">
        <control shapeId="1061" r:id="rId26" name="CommandButton9">
          <controlPr defaultSize="0" disabled="1" autoLine="0" r:id="rId27">
            <anchor moveWithCells="1">
              <from>
                <xdr:col>32</xdr:col>
                <xdr:colOff>85725</xdr:colOff>
                <xdr:row>51</xdr:row>
                <xdr:rowOff>142875</xdr:rowOff>
              </from>
              <to>
                <xdr:col>40</xdr:col>
                <xdr:colOff>76200</xdr:colOff>
                <xdr:row>53</xdr:row>
                <xdr:rowOff>133350</xdr:rowOff>
              </to>
            </anchor>
          </controlPr>
        </control>
      </mc:Choice>
      <mc:Fallback>
        <control shapeId="1061" r:id="rId26" name="CommandButton9"/>
      </mc:Fallback>
    </mc:AlternateContent>
    <mc:AlternateContent xmlns:mc="http://schemas.openxmlformats.org/markup-compatibility/2006">
      <mc:Choice Requires="x14">
        <control shapeId="1062" r:id="rId28" name="CommandButton10">
          <controlPr defaultSize="0" disabled="1" autoLine="0" autoPict="0" r:id="rId29">
            <anchor moveWithCells="1">
              <from>
                <xdr:col>49</xdr:col>
                <xdr:colOff>28575</xdr:colOff>
                <xdr:row>45</xdr:row>
                <xdr:rowOff>9525</xdr:rowOff>
              </from>
              <to>
                <xdr:col>56</xdr:col>
                <xdr:colOff>85725</xdr:colOff>
                <xdr:row>46</xdr:row>
                <xdr:rowOff>95250</xdr:rowOff>
              </to>
            </anchor>
          </controlPr>
        </control>
      </mc:Choice>
      <mc:Fallback>
        <control shapeId="1062" r:id="rId28" name="CommandButton10"/>
      </mc:Fallback>
    </mc:AlternateContent>
    <mc:AlternateContent xmlns:mc="http://schemas.openxmlformats.org/markup-compatibility/2006">
      <mc:Choice Requires="x14">
        <control shapeId="1045" r:id="rId30" name="Drop Down 21">
          <controlPr defaultSize="0" autoLine="0" autoPict="0" macro="[0]!ドロップ21_Change">
            <anchor moveWithCells="1">
              <from>
                <xdr:col>21</xdr:col>
                <xdr:colOff>104775</xdr:colOff>
                <xdr:row>8</xdr:row>
                <xdr:rowOff>0</xdr:rowOff>
              </from>
              <to>
                <xdr:col>38</xdr:col>
                <xdr:colOff>104775</xdr:colOff>
                <xdr:row>10</xdr:row>
                <xdr:rowOff>0</xdr:rowOff>
              </to>
            </anchor>
          </controlPr>
        </control>
      </mc:Choice>
    </mc:AlternateContent>
    <mc:AlternateContent xmlns:mc="http://schemas.openxmlformats.org/markup-compatibility/2006">
      <mc:Choice Requires="x14">
        <control shapeId="1046" r:id="rId31" name="Drop Down 22">
          <controlPr defaultSize="0" autoLine="0" autoPict="0" macro="[0]!ドロップ22_Change">
            <anchor moveWithCells="1">
              <from>
                <xdr:col>3</xdr:col>
                <xdr:colOff>104775</xdr:colOff>
                <xdr:row>8</xdr:row>
                <xdr:rowOff>0</xdr:rowOff>
              </from>
              <to>
                <xdr:col>20</xdr:col>
                <xdr:colOff>104775</xdr:colOff>
                <xdr:row>10</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D6273-E488-401B-91A0-50C4D39E8934}">
  <sheetPr codeName="Sheet2"/>
  <dimension ref="A1:Z51"/>
  <sheetViews>
    <sheetView zoomScaleNormal="100" workbookViewId="0">
      <selection activeCell="G13" sqref="G13"/>
    </sheetView>
  </sheetViews>
  <sheetFormatPr defaultRowHeight="18.75"/>
  <cols>
    <col min="4" max="7" width="7.125" customWidth="1"/>
    <col min="11" max="11" width="1.625" customWidth="1"/>
  </cols>
  <sheetData>
    <row r="1" spans="1:26" ht="19.5" thickBot="1">
      <c r="D1" s="53"/>
      <c r="E1" s="53"/>
      <c r="F1" s="53"/>
      <c r="G1" s="53"/>
      <c r="K1" s="106"/>
    </row>
    <row r="2" spans="1:26" ht="19.5" customHeight="1">
      <c r="A2" s="308" t="str">
        <f>'SUB-STD作成依頼'!AU2</f>
        <v>未設定</v>
      </c>
      <c r="B2" s="279"/>
      <c r="C2" s="280"/>
      <c r="D2" s="302" t="s">
        <v>203</v>
      </c>
      <c r="E2" s="303"/>
      <c r="F2" s="303"/>
      <c r="G2" s="304"/>
      <c r="K2" s="106"/>
      <c r="M2" s="308" t="str">
        <f>A2</f>
        <v>未設定</v>
      </c>
      <c r="N2" s="279"/>
      <c r="O2" s="280"/>
      <c r="P2" s="269" t="s">
        <v>216</v>
      </c>
      <c r="Q2" s="270"/>
      <c r="R2" s="270"/>
      <c r="S2" s="270"/>
      <c r="T2" s="270"/>
      <c r="U2" s="270"/>
      <c r="V2" s="270"/>
      <c r="W2" s="271"/>
    </row>
    <row r="3" spans="1:26" ht="19.5" customHeight="1" thickBot="1">
      <c r="A3" s="281"/>
      <c r="B3" s="282"/>
      <c r="C3" s="283"/>
      <c r="D3" s="305"/>
      <c r="E3" s="306"/>
      <c r="F3" s="306"/>
      <c r="G3" s="307"/>
      <c r="K3" s="106"/>
      <c r="M3" s="281"/>
      <c r="N3" s="282"/>
      <c r="O3" s="283"/>
      <c r="P3" s="272"/>
      <c r="Q3" s="273"/>
      <c r="R3" s="273"/>
      <c r="S3" s="273"/>
      <c r="T3" s="273"/>
      <c r="U3" s="273"/>
      <c r="V3" s="273"/>
      <c r="W3" s="274"/>
    </row>
    <row r="4" spans="1:26" ht="24.75" thickBot="1">
      <c r="A4" s="275" t="s">
        <v>204</v>
      </c>
      <c r="B4" s="276"/>
      <c r="C4" s="277"/>
      <c r="D4" s="54" t="s">
        <v>199</v>
      </c>
      <c r="E4" s="55" t="s">
        <v>200</v>
      </c>
      <c r="F4" s="55" t="s">
        <v>201</v>
      </c>
      <c r="G4" s="56" t="s">
        <v>202</v>
      </c>
      <c r="K4" s="106"/>
      <c r="M4" s="275" t="s">
        <v>204</v>
      </c>
      <c r="N4" s="276"/>
      <c r="O4" s="277"/>
      <c r="P4" s="100" t="s">
        <v>208</v>
      </c>
      <c r="Q4" s="97" t="s">
        <v>217</v>
      </c>
      <c r="R4" s="96" t="s">
        <v>210</v>
      </c>
      <c r="S4" s="97" t="s">
        <v>211</v>
      </c>
      <c r="T4" s="96" t="s">
        <v>218</v>
      </c>
      <c r="U4" s="97" t="s">
        <v>219</v>
      </c>
      <c r="V4" s="97" t="s">
        <v>220</v>
      </c>
      <c r="W4" s="97" t="s">
        <v>221</v>
      </c>
    </row>
    <row r="5" spans="1:26" ht="24.75" thickBot="1">
      <c r="A5" s="278" t="str">
        <f>'SUB-STD作成依頼'!AU4</f>
        <v>未選択</v>
      </c>
      <c r="B5" s="279"/>
      <c r="C5" s="280"/>
      <c r="D5" s="57">
        <f t="shared" ref="D5:G5" si="0">SUBTOTAL(9,D9:D36)</f>
        <v>0</v>
      </c>
      <c r="E5" s="58">
        <f t="shared" si="0"/>
        <v>0</v>
      </c>
      <c r="F5" s="58">
        <f t="shared" si="0"/>
        <v>0</v>
      </c>
      <c r="G5" s="59">
        <f t="shared" si="0"/>
        <v>0</v>
      </c>
      <c r="K5" s="106"/>
      <c r="M5" s="278" t="str">
        <f>A5</f>
        <v>未選択</v>
      </c>
      <c r="N5" s="279"/>
      <c r="O5" s="280"/>
      <c r="P5" s="101">
        <f t="shared" ref="P5:W5" si="1">SUBTOTAL(9,P9:P36)</f>
        <v>0</v>
      </c>
      <c r="Q5" s="99">
        <f t="shared" si="1"/>
        <v>0</v>
      </c>
      <c r="R5" s="98">
        <f t="shared" si="1"/>
        <v>0</v>
      </c>
      <c r="S5" s="99">
        <f t="shared" si="1"/>
        <v>0</v>
      </c>
      <c r="T5" s="98">
        <f t="shared" si="1"/>
        <v>0</v>
      </c>
      <c r="U5" s="99">
        <f t="shared" si="1"/>
        <v>0</v>
      </c>
      <c r="V5" s="99">
        <f t="shared" si="1"/>
        <v>0</v>
      </c>
      <c r="W5" s="99">
        <f t="shared" si="1"/>
        <v>0</v>
      </c>
    </row>
    <row r="6" spans="1:26" ht="24.75" thickBot="1">
      <c r="A6" s="281"/>
      <c r="B6" s="282"/>
      <c r="C6" s="283"/>
      <c r="D6" s="60">
        <f>((D5*Q41)/60)</f>
        <v>0</v>
      </c>
      <c r="E6" s="61">
        <f>((E5*Q41)/60)</f>
        <v>0</v>
      </c>
      <c r="F6" s="61">
        <f>((F5*Q41)/60)</f>
        <v>0</v>
      </c>
      <c r="G6" s="62">
        <f>((G5*Q41)/60)</f>
        <v>0</v>
      </c>
      <c r="K6" s="106"/>
      <c r="M6" s="281"/>
      <c r="N6" s="282"/>
      <c r="O6" s="283"/>
      <c r="P6" s="102">
        <f>((P5*U41)/60)</f>
        <v>0</v>
      </c>
      <c r="Q6" s="103">
        <f>((Q5*U41)/60)</f>
        <v>0</v>
      </c>
      <c r="R6" s="104">
        <f>((R5*U41)/60)</f>
        <v>0</v>
      </c>
      <c r="S6" s="103">
        <f>((S5*U41)/60)</f>
        <v>0</v>
      </c>
      <c r="T6" s="104">
        <f>((T5*U41)/60)</f>
        <v>0</v>
      </c>
      <c r="U6" s="103">
        <f>((U5*U41)/60)</f>
        <v>0</v>
      </c>
      <c r="V6" s="103">
        <f>((V5*U41)/60)</f>
        <v>0</v>
      </c>
      <c r="W6" s="105">
        <f>((W5*U41)/60)</f>
        <v>0</v>
      </c>
    </row>
    <row r="7" spans="1:26" ht="19.5" thickBot="1">
      <c r="K7" s="106"/>
    </row>
    <row r="8" spans="1:26" ht="19.5" thickBot="1">
      <c r="D8" s="63" t="s">
        <v>199</v>
      </c>
      <c r="E8" s="64" t="s">
        <v>200</v>
      </c>
      <c r="F8" s="64" t="s">
        <v>201</v>
      </c>
      <c r="G8" s="65" t="s">
        <v>202</v>
      </c>
      <c r="K8" s="106"/>
      <c r="P8" s="93" t="s">
        <v>208</v>
      </c>
      <c r="Q8" s="94" t="s">
        <v>209</v>
      </c>
      <c r="R8" s="94" t="s">
        <v>210</v>
      </c>
      <c r="S8" s="95" t="s">
        <v>211</v>
      </c>
      <c r="T8" s="95" t="s">
        <v>212</v>
      </c>
      <c r="U8" s="95" t="s">
        <v>213</v>
      </c>
      <c r="V8" s="95" t="s">
        <v>214</v>
      </c>
      <c r="W8" s="95" t="s">
        <v>215</v>
      </c>
    </row>
    <row r="9" spans="1:26" ht="24">
      <c r="C9" s="75" t="s">
        <v>5</v>
      </c>
      <c r="D9" s="66" t="str">
        <f>IF(('SUB-STD作成依頼'!J29=""),"-",'SUB-STD作成依頼'!J29)</f>
        <v>-</v>
      </c>
      <c r="E9" s="67" t="str">
        <f>IF(('SUB-STD作成依頼'!N29=""),"-",'SUB-STD作成依頼'!N29)</f>
        <v>-</v>
      </c>
      <c r="F9" s="67" t="str">
        <f>IF(('SUB-STD作成依頼'!R29=""),"-",'SUB-STD作成依頼'!R29)</f>
        <v>-</v>
      </c>
      <c r="G9" s="68" t="str">
        <f>IF(('SUB-STD作成依頼'!V29=""),"-",'SUB-STD作成依頼'!V29)</f>
        <v>-</v>
      </c>
      <c r="H9" s="83"/>
      <c r="I9" s="84"/>
      <c r="K9" s="106"/>
      <c r="O9" s="89" t="s">
        <v>5</v>
      </c>
      <c r="P9" s="66" t="str">
        <f>IF(('SUB-STD作成依頼'!Z29=""),"-",'SUB-STD作成依頼'!Z29)</f>
        <v>-</v>
      </c>
      <c r="Q9" s="67" t="str">
        <f>IF(('SUB-STD作成依頼'!AD29=""),"-",'SUB-STD作成依頼'!AD29)</f>
        <v>-</v>
      </c>
      <c r="R9" s="67" t="str">
        <f>IF(('SUB-STD作成依頼'!AH29=""),"-",'SUB-STD作成依頼'!AH29)</f>
        <v>-</v>
      </c>
      <c r="S9" s="67" t="str">
        <f>IF(('SUB-STD作成依頼'!AL29=""),"-",'SUB-STD作成依頼'!AL29)</f>
        <v>-</v>
      </c>
      <c r="T9" s="67" t="str">
        <f>IF(('SUB-STD作成依頼'!AP29=""),"-",'SUB-STD作成依頼'!AP29)</f>
        <v>-</v>
      </c>
      <c r="U9" s="67" t="str">
        <f>IF(('SUB-STD作成依頼'!AT29=""),"-",'SUB-STD作成依頼'!AT29)</f>
        <v>-</v>
      </c>
      <c r="V9" s="67" t="str">
        <f>IF(('SUB-STD作成依頼'!AX29=""),"-",'SUB-STD作成依頼'!AX29)</f>
        <v>-</v>
      </c>
      <c r="W9" s="68" t="str">
        <f>IF(('SUB-STD作成依頼'!BB29=""),"-",'SUB-STD作成依頼'!BB29)</f>
        <v>-</v>
      </c>
      <c r="X9" s="83"/>
      <c r="Y9" s="84"/>
    </row>
    <row r="10" spans="1:26" ht="24">
      <c r="C10" s="76" t="s">
        <v>6</v>
      </c>
      <c r="D10" s="69" t="str">
        <f>IF(('SUB-STD作成依頼'!J32=""),"-",'SUB-STD作成依頼'!J32)</f>
        <v>-</v>
      </c>
      <c r="E10" s="70" t="str">
        <f>IF(('SUB-STD作成依頼'!N32=""),"-",'SUB-STD作成依頼'!N32)</f>
        <v>-</v>
      </c>
      <c r="F10" s="70" t="str">
        <f>IF(('SUB-STD作成依頼'!R32=""),"-",'SUB-STD作成依頼'!R32)</f>
        <v>-</v>
      </c>
      <c r="G10" s="71" t="str">
        <f>IF(('SUB-STD作成依頼'!V32=""),"-",'SUB-STD作成依頼'!V32)</f>
        <v>-</v>
      </c>
      <c r="H10" s="85"/>
      <c r="I10" s="146" t="s">
        <v>206</v>
      </c>
      <c r="J10" s="268"/>
      <c r="K10" s="107"/>
      <c r="L10" s="36"/>
      <c r="M10" s="36"/>
      <c r="N10" s="36"/>
      <c r="O10" s="90" t="s">
        <v>6</v>
      </c>
      <c r="P10" s="69" t="str">
        <f>IF(('SUB-STD作成依頼'!Z32=""),"-",'SUB-STD作成依頼'!Z32)</f>
        <v>-</v>
      </c>
      <c r="Q10" s="70" t="str">
        <f>IF(('SUB-STD作成依頼'!AD32=""),"-",'SUB-STD作成依頼'!AD32)</f>
        <v>-</v>
      </c>
      <c r="R10" s="70" t="str">
        <f>IF(('SUB-STD作成依頼'!AH32=""),"-",'SUB-STD作成依頼'!AH32)</f>
        <v>-</v>
      </c>
      <c r="S10" s="70" t="str">
        <f>IF(('SUB-STD作成依頼'!AL32=""),"-",'SUB-STD作成依頼'!AL32)</f>
        <v>-</v>
      </c>
      <c r="T10" s="70" t="str">
        <f>IF(('SUB-STD作成依頼'!AP32=""),"-",'SUB-STD作成依頼'!AP32)</f>
        <v>-</v>
      </c>
      <c r="U10" s="70" t="str">
        <f>IF(('SUB-STD作成依頼'!AT32=""),"-",'SUB-STD作成依頼'!AT32)</f>
        <v>-</v>
      </c>
      <c r="V10" s="70" t="str">
        <f>IF(('SUB-STD作成依頼'!AX32=""),"-",'SUB-STD作成依頼'!AX32)</f>
        <v>-</v>
      </c>
      <c r="W10" s="71" t="str">
        <f>IF(('SUB-STD作成依頼'!BB32=""),"-",'SUB-STD作成依頼'!BB32)</f>
        <v>-</v>
      </c>
      <c r="X10" s="85"/>
      <c r="Y10" s="146" t="s">
        <v>206</v>
      </c>
      <c r="Z10" s="268"/>
    </row>
    <row r="11" spans="1:26" ht="24">
      <c r="C11" s="77" t="s">
        <v>7</v>
      </c>
      <c r="D11" s="69" t="str">
        <f>IF(('SUB-STD作成依頼'!J35=""),"-",'SUB-STD作成依頼'!J35)</f>
        <v>-</v>
      </c>
      <c r="E11" s="70" t="str">
        <f>IF(('SUB-STD作成依頼'!N35=""),"-",'SUB-STD作成依頼'!N35)</f>
        <v>-</v>
      </c>
      <c r="F11" s="70" t="str">
        <f>IF(('SUB-STD作成依頼'!R35=""),"-",'SUB-STD作成依頼'!R35)</f>
        <v>-</v>
      </c>
      <c r="G11" s="71" t="str">
        <f>IF(('SUB-STD作成依頼'!V35=""),"-",'SUB-STD作成依頼'!V35)</f>
        <v>-</v>
      </c>
      <c r="H11" s="85"/>
      <c r="I11" s="268"/>
      <c r="J11" s="268"/>
      <c r="K11" s="107"/>
      <c r="L11" s="36"/>
      <c r="M11" s="36"/>
      <c r="N11" s="36"/>
      <c r="O11" s="91" t="s">
        <v>7</v>
      </c>
      <c r="P11" s="69" t="str">
        <f>IF(('SUB-STD作成依頼'!Z35=""),"-",'SUB-STD作成依頼'!Z35)</f>
        <v>-</v>
      </c>
      <c r="Q11" s="70" t="str">
        <f>IF(('SUB-STD作成依頼'!AD35=""),"-",'SUB-STD作成依頼'!AD35)</f>
        <v>-</v>
      </c>
      <c r="R11" s="70" t="str">
        <f>IF(('SUB-STD作成依頼'!AH35=""),"-",'SUB-STD作成依頼'!AH35)</f>
        <v>-</v>
      </c>
      <c r="S11" s="70" t="str">
        <f>IF(('SUB-STD作成依頼'!AL35=""),"-",'SUB-STD作成依頼'!AL35)</f>
        <v>-</v>
      </c>
      <c r="T11" s="70" t="str">
        <f>IF(('SUB-STD作成依頼'!AP35=""),"-",'SUB-STD作成依頼'!AP35)</f>
        <v>-</v>
      </c>
      <c r="U11" s="70" t="str">
        <f>IF(('SUB-STD作成依頼'!AT35=""),"-",'SUB-STD作成依頼'!AT35)</f>
        <v>-</v>
      </c>
      <c r="V11" s="70" t="str">
        <f>IF(('SUB-STD作成依頼'!AX35=""),"-",'SUB-STD作成依頼'!AX35)</f>
        <v>-</v>
      </c>
      <c r="W11" s="71" t="str">
        <f>IF(('SUB-STD作成依頼'!BB35=""),"-",'SUB-STD作成依頼'!BB35)</f>
        <v>-</v>
      </c>
      <c r="X11" s="85"/>
      <c r="Y11" s="268"/>
      <c r="Z11" s="268"/>
    </row>
    <row r="12" spans="1:26" ht="24.75" thickBot="1">
      <c r="C12" s="78" t="s">
        <v>8</v>
      </c>
      <c r="D12" s="72" t="str">
        <f>IF(('SUB-STD作成依頼'!J38=""),"-",'SUB-STD作成依頼'!J38)</f>
        <v>-</v>
      </c>
      <c r="E12" s="73" t="str">
        <f>IF(('SUB-STD作成依頼'!N38=""),"-",'SUB-STD作成依頼'!N38)</f>
        <v>-</v>
      </c>
      <c r="F12" s="73" t="str">
        <f>IF(('SUB-STD作成依頼'!R38=""),"-",'SUB-STD作成依頼'!R38)</f>
        <v>-</v>
      </c>
      <c r="G12" s="74" t="str">
        <f>IF(('SUB-STD作成依頼'!V38=""),"-",'SUB-STD作成依頼'!V38)</f>
        <v>-</v>
      </c>
      <c r="H12" s="86"/>
      <c r="I12" s="87"/>
      <c r="K12" s="106"/>
      <c r="O12" s="92" t="s">
        <v>8</v>
      </c>
      <c r="P12" s="72" t="str">
        <f>IF(('SUB-STD作成依頼'!Z38=""),"-",'SUB-STD作成依頼'!Z38)</f>
        <v>-</v>
      </c>
      <c r="Q12" s="73" t="str">
        <f>IF(('SUB-STD作成依頼'!AD38=""),"-",'SUB-STD作成依頼'!AD38)</f>
        <v>-</v>
      </c>
      <c r="R12" s="73" t="str">
        <f>IF(('SUB-STD作成依頼'!AH38=""),"-",'SUB-STD作成依頼'!AH38)</f>
        <v>-</v>
      </c>
      <c r="S12" s="73" t="str">
        <f>IF(('SUB-STD作成依頼'!AL38=""),"-",'SUB-STD作成依頼'!AL38)</f>
        <v>-</v>
      </c>
      <c r="T12" s="73" t="str">
        <f>IF(('SUB-STD作成依頼'!AP38=""),"-",'SUB-STD作成依頼'!AP38)</f>
        <v>-</v>
      </c>
      <c r="U12" s="73" t="str">
        <f>IF(('SUB-STD作成依頼'!AT38=""),"-",'SUB-STD作成依頼'!AT38)</f>
        <v>-</v>
      </c>
      <c r="V12" s="73" t="str">
        <f>IF(('SUB-STD作成依頼'!AX38=""),"-",'SUB-STD作成依頼'!AX38)</f>
        <v>-</v>
      </c>
      <c r="W12" s="74" t="str">
        <f>IF(('SUB-STD作成依頼'!BB38=""),"-",'SUB-STD作成依頼'!BB38)</f>
        <v>-</v>
      </c>
      <c r="X12" s="86"/>
      <c r="Y12" s="87"/>
    </row>
    <row r="13" spans="1:26">
      <c r="D13" s="79"/>
      <c r="E13" s="53"/>
      <c r="F13" s="53"/>
      <c r="G13" s="80"/>
      <c r="K13" s="106"/>
      <c r="P13" s="79"/>
      <c r="Q13" s="53"/>
      <c r="R13" s="53"/>
      <c r="S13" s="53"/>
      <c r="T13" s="53"/>
      <c r="U13" s="53"/>
      <c r="V13" s="53"/>
      <c r="W13" s="80"/>
    </row>
    <row r="14" spans="1:26">
      <c r="D14" s="81"/>
      <c r="G14" s="82"/>
      <c r="K14" s="106"/>
      <c r="P14" s="81"/>
      <c r="W14" s="82"/>
    </row>
    <row r="15" spans="1:26">
      <c r="D15" s="81"/>
      <c r="E15" s="145" t="s">
        <v>207</v>
      </c>
      <c r="F15" s="145"/>
      <c r="G15" s="82"/>
      <c r="K15" s="106"/>
      <c r="P15" s="81"/>
      <c r="S15" s="251" t="s">
        <v>207</v>
      </c>
      <c r="T15" s="251"/>
      <c r="W15" s="82"/>
    </row>
    <row r="16" spans="1:26">
      <c r="K16" s="106"/>
    </row>
    <row r="17" spans="3:22" ht="19.5" thickBot="1">
      <c r="K17" s="106"/>
    </row>
    <row r="18" spans="3:22" ht="18.75" customHeight="1">
      <c r="C18" s="284" t="s">
        <v>222</v>
      </c>
      <c r="D18" s="285"/>
      <c r="E18" s="285"/>
      <c r="F18" s="285"/>
      <c r="G18" s="285"/>
      <c r="H18" s="286"/>
      <c r="K18" s="106"/>
      <c r="Q18" s="293" t="s">
        <v>223</v>
      </c>
      <c r="R18" s="294"/>
      <c r="S18" s="294"/>
      <c r="T18" s="294"/>
      <c r="U18" s="294"/>
      <c r="V18" s="295"/>
    </row>
    <row r="19" spans="3:22" ht="18.75" customHeight="1">
      <c r="C19" s="287"/>
      <c r="D19" s="288"/>
      <c r="E19" s="288"/>
      <c r="F19" s="288"/>
      <c r="G19" s="288"/>
      <c r="H19" s="289"/>
      <c r="K19" s="106"/>
      <c r="Q19" s="296"/>
      <c r="R19" s="297"/>
      <c r="S19" s="297"/>
      <c r="T19" s="297"/>
      <c r="U19" s="297"/>
      <c r="V19" s="298"/>
    </row>
    <row r="20" spans="3:22" ht="19.5" customHeight="1" thickBot="1">
      <c r="C20" s="290"/>
      <c r="D20" s="291"/>
      <c r="E20" s="291"/>
      <c r="F20" s="291"/>
      <c r="G20" s="291"/>
      <c r="H20" s="292"/>
      <c r="K20" s="106"/>
      <c r="Q20" s="299"/>
      <c r="R20" s="300"/>
      <c r="S20" s="300"/>
      <c r="T20" s="300"/>
      <c r="U20" s="300"/>
      <c r="V20" s="301"/>
    </row>
    <row r="21" spans="3:22">
      <c r="K21" s="106"/>
    </row>
    <row r="22" spans="3:22">
      <c r="K22" s="106"/>
    </row>
    <row r="23" spans="3:22">
      <c r="K23" s="106"/>
    </row>
    <row r="24" spans="3:22">
      <c r="K24" s="106"/>
    </row>
    <row r="47" spans="12:21">
      <c r="L47" s="88"/>
      <c r="M47" s="88"/>
      <c r="N47" s="88"/>
      <c r="O47" s="88"/>
      <c r="P47" s="88"/>
      <c r="Q47" s="88"/>
      <c r="R47" s="88"/>
      <c r="S47" s="88"/>
      <c r="T47" s="88"/>
      <c r="U47" s="88"/>
    </row>
    <row r="48" spans="12:21">
      <c r="L48" s="88"/>
      <c r="M48" s="88"/>
      <c r="N48" s="88"/>
      <c r="O48" s="88"/>
      <c r="P48" s="88"/>
      <c r="Q48" s="88"/>
      <c r="R48" s="88"/>
      <c r="S48" s="88"/>
      <c r="T48" s="88"/>
      <c r="U48" s="88"/>
    </row>
    <row r="49" spans="12:21">
      <c r="L49" s="88"/>
      <c r="M49" s="88"/>
      <c r="N49" s="88"/>
      <c r="O49" s="88"/>
      <c r="P49" s="88"/>
      <c r="Q49" s="88"/>
      <c r="R49" s="88"/>
      <c r="S49" s="88"/>
      <c r="T49" s="88"/>
      <c r="U49" s="88"/>
    </row>
    <row r="50" spans="12:21">
      <c r="L50" s="88"/>
      <c r="M50" s="88"/>
      <c r="N50" s="88"/>
      <c r="O50" s="88"/>
      <c r="P50" s="88"/>
      <c r="Q50" s="88"/>
      <c r="R50" s="88"/>
      <c r="S50" s="88"/>
      <c r="T50" s="88"/>
      <c r="U50" s="88"/>
    </row>
    <row r="51" spans="12:21">
      <c r="L51" s="88"/>
      <c r="M51" s="88"/>
      <c r="N51" s="88"/>
      <c r="O51" s="88"/>
      <c r="P51" s="88"/>
      <c r="Q51" s="88"/>
      <c r="R51" s="88"/>
      <c r="S51" s="88"/>
      <c r="T51" s="88"/>
      <c r="U51" s="88"/>
    </row>
  </sheetData>
  <mergeCells count="14">
    <mergeCell ref="I10:J11"/>
    <mergeCell ref="C18:H20"/>
    <mergeCell ref="Q18:V20"/>
    <mergeCell ref="D2:G3"/>
    <mergeCell ref="A5:C6"/>
    <mergeCell ref="A4:C4"/>
    <mergeCell ref="E15:F15"/>
    <mergeCell ref="M2:O3"/>
    <mergeCell ref="A2:C3"/>
    <mergeCell ref="Y10:Z11"/>
    <mergeCell ref="S15:T15"/>
    <mergeCell ref="P2:W3"/>
    <mergeCell ref="M4:O4"/>
    <mergeCell ref="M5:O6"/>
  </mergeCells>
  <phoneticPr fontId="1"/>
  <conditionalFormatting sqref="D9:G12">
    <cfRule type="cellIs" dxfId="9" priority="6" operator="equal">
      <formula>"ー"</formula>
    </cfRule>
    <cfRule type="cellIs" dxfId="8" priority="7" operator="equal">
      <formula>"－"</formula>
    </cfRule>
    <cfRule type="cellIs" dxfId="7" priority="8" operator="equal">
      <formula>"-"</formula>
    </cfRule>
    <cfRule type="cellIs" dxfId="6" priority="9" operator="notEqual">
      <formula>0</formula>
    </cfRule>
    <cfRule type="cellIs" dxfId="5" priority="10" operator="equal">
      <formula>""</formula>
    </cfRule>
  </conditionalFormatting>
  <conditionalFormatting sqref="P9:W12">
    <cfRule type="cellIs" dxfId="4" priority="1" operator="equal">
      <formula>"ー"</formula>
    </cfRule>
    <cfRule type="cellIs" dxfId="3" priority="2" operator="equal">
      <formula>"－"</formula>
    </cfRule>
    <cfRule type="cellIs" dxfId="2" priority="3" operator="equal">
      <formula>"-"</formula>
    </cfRule>
    <cfRule type="cellIs" dxfId="1" priority="4" operator="notEqual">
      <formula>0</formula>
    </cfRule>
    <cfRule type="cellIs" dxfId="0" priority="5" operator="equal">
      <formula>""</formula>
    </cfRule>
  </conditionalFormatting>
  <dataValidations count="1">
    <dataValidation type="list" allowBlank="1" showInputMessage="1" showErrorMessage="1" sqref="G1" xr:uid="{3D810C8D-388C-4666-B835-4F1A425C6898}">
      <formula1>$BY$2:$BY$13</formula1>
    </dataValidation>
  </dataValidations>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F358F-7D85-46EF-AF81-C6A030C079B0}">
  <sheetPr codeName="Sheet3"/>
  <dimension ref="A1:B151"/>
  <sheetViews>
    <sheetView topLeftCell="B134" workbookViewId="0">
      <selection activeCell="B150" sqref="B150"/>
    </sheetView>
  </sheetViews>
  <sheetFormatPr defaultRowHeight="18.75"/>
  <cols>
    <col min="1" max="1" width="19.25" bestFit="1" customWidth="1"/>
    <col min="2" max="2" width="128.5" customWidth="1"/>
  </cols>
  <sheetData>
    <row r="1" spans="1:2">
      <c r="A1" t="s">
        <v>15</v>
      </c>
    </row>
    <row r="2" spans="1:2">
      <c r="A2" s="2" t="s">
        <v>16</v>
      </c>
      <c r="B2" s="2" t="s">
        <v>17</v>
      </c>
    </row>
    <row r="3" spans="1:2">
      <c r="A3" s="3" t="s">
        <v>31</v>
      </c>
      <c r="B3" s="4" t="s">
        <v>49</v>
      </c>
    </row>
    <row r="4" spans="1:2">
      <c r="A4" s="3"/>
      <c r="B4" s="4" t="s">
        <v>60</v>
      </c>
    </row>
    <row r="5" spans="1:2">
      <c r="A5" s="3"/>
      <c r="B5" s="4"/>
    </row>
    <row r="6" spans="1:2">
      <c r="B6" s="3" t="s">
        <v>44</v>
      </c>
    </row>
    <row r="7" spans="1:2">
      <c r="B7" s="3" t="s">
        <v>45</v>
      </c>
    </row>
    <row r="8" spans="1:2">
      <c r="B8" s="3" t="s">
        <v>43</v>
      </c>
    </row>
    <row r="9" spans="1:2">
      <c r="B9" s="3" t="s">
        <v>42</v>
      </c>
    </row>
    <row r="10" spans="1:2">
      <c r="B10" s="3"/>
    </row>
    <row r="11" spans="1:2">
      <c r="B11" s="3" t="s">
        <v>46</v>
      </c>
    </row>
    <row r="12" spans="1:2">
      <c r="B12" s="3" t="s">
        <v>47</v>
      </c>
    </row>
    <row r="13" spans="1:2">
      <c r="B13" s="3"/>
    </row>
    <row r="14" spans="1:2">
      <c r="B14" s="3" t="s">
        <v>50</v>
      </c>
    </row>
    <row r="15" spans="1:2">
      <c r="B15" s="3" t="s">
        <v>53</v>
      </c>
    </row>
    <row r="16" spans="1:2">
      <c r="B16" s="3" t="s">
        <v>54</v>
      </c>
    </row>
    <row r="17" spans="1:2">
      <c r="B17" s="3" t="s">
        <v>51</v>
      </c>
    </row>
    <row r="18" spans="1:2">
      <c r="B18" s="3" t="s">
        <v>52</v>
      </c>
    </row>
    <row r="19" spans="1:2">
      <c r="B19" s="3"/>
    </row>
    <row r="20" spans="1:2">
      <c r="B20" s="3" t="s">
        <v>55</v>
      </c>
    </row>
    <row r="21" spans="1:2">
      <c r="B21" s="3" t="s">
        <v>56</v>
      </c>
    </row>
    <row r="22" spans="1:2">
      <c r="B22" s="3" t="s">
        <v>57</v>
      </c>
    </row>
    <row r="23" spans="1:2">
      <c r="B23" s="3" t="s">
        <v>58</v>
      </c>
    </row>
    <row r="24" spans="1:2">
      <c r="A24" s="3" t="s">
        <v>35</v>
      </c>
      <c r="B24" s="3" t="s">
        <v>48</v>
      </c>
    </row>
    <row r="25" spans="1:2">
      <c r="A25" s="3"/>
      <c r="B25" t="s">
        <v>34</v>
      </c>
    </row>
    <row r="26" spans="1:2">
      <c r="A26" s="3"/>
      <c r="B26" s="6" t="s">
        <v>59</v>
      </c>
    </row>
    <row r="27" spans="1:2">
      <c r="A27" s="3" t="s">
        <v>32</v>
      </c>
      <c r="B27" s="3" t="s">
        <v>30</v>
      </c>
    </row>
    <row r="28" spans="1:2">
      <c r="A28" s="5" t="s">
        <v>33</v>
      </c>
      <c r="B28" s="3" t="s">
        <v>36</v>
      </c>
    </row>
    <row r="29" spans="1:2">
      <c r="B29" t="s">
        <v>41</v>
      </c>
    </row>
    <row r="30" spans="1:2">
      <c r="B30" s="3" t="s">
        <v>37</v>
      </c>
    </row>
    <row r="31" spans="1:2">
      <c r="B31" s="3" t="s">
        <v>38</v>
      </c>
    </row>
    <row r="32" spans="1:2">
      <c r="B32" s="3" t="s">
        <v>39</v>
      </c>
    </row>
    <row r="33" spans="1:2">
      <c r="B33" s="3" t="s">
        <v>40</v>
      </c>
    </row>
    <row r="34" spans="1:2">
      <c r="A34" s="3" t="s">
        <v>61</v>
      </c>
      <c r="B34" s="3" t="s">
        <v>67</v>
      </c>
    </row>
    <row r="35" spans="1:2">
      <c r="B35" s="3" t="s">
        <v>62</v>
      </c>
    </row>
    <row r="36" spans="1:2">
      <c r="B36" s="3" t="s">
        <v>63</v>
      </c>
    </row>
    <row r="37" spans="1:2">
      <c r="B37" s="3" t="s">
        <v>64</v>
      </c>
    </row>
    <row r="38" spans="1:2">
      <c r="B38" s="3" t="s">
        <v>65</v>
      </c>
    </row>
    <row r="39" spans="1:2">
      <c r="B39" s="3" t="s">
        <v>66</v>
      </c>
    </row>
    <row r="40" spans="1:2">
      <c r="B40" s="3"/>
    </row>
    <row r="41" spans="1:2">
      <c r="B41" s="3" t="s">
        <v>68</v>
      </c>
    </row>
    <row r="42" spans="1:2">
      <c r="B42" s="3" t="s">
        <v>69</v>
      </c>
    </row>
    <row r="43" spans="1:2">
      <c r="B43" s="3" t="s">
        <v>70</v>
      </c>
    </row>
    <row r="44" spans="1:2">
      <c r="A44" s="3" t="s">
        <v>71</v>
      </c>
      <c r="B44" s="3" t="s">
        <v>72</v>
      </c>
    </row>
    <row r="45" spans="1:2">
      <c r="B45" s="3" t="s">
        <v>73</v>
      </c>
    </row>
    <row r="46" spans="1:2">
      <c r="B46" s="3" t="s">
        <v>80</v>
      </c>
    </row>
    <row r="47" spans="1:2">
      <c r="A47" s="3" t="s">
        <v>79</v>
      </c>
      <c r="B47" s="3" t="s">
        <v>81</v>
      </c>
    </row>
    <row r="48" spans="1:2">
      <c r="B48" s="3" t="s">
        <v>82</v>
      </c>
    </row>
    <row r="49" spans="2:2">
      <c r="B49" s="3" t="s">
        <v>83</v>
      </c>
    </row>
    <row r="50" spans="2:2">
      <c r="B50" s="3" t="s">
        <v>92</v>
      </c>
    </row>
    <row r="51" spans="2:2">
      <c r="B51" s="3"/>
    </row>
    <row r="52" spans="2:2">
      <c r="B52" s="3" t="s">
        <v>88</v>
      </c>
    </row>
    <row r="53" spans="2:2">
      <c r="B53" s="3" t="s">
        <v>84</v>
      </c>
    </row>
    <row r="54" spans="2:2">
      <c r="B54" s="8" t="s">
        <v>85</v>
      </c>
    </row>
    <row r="55" spans="2:2">
      <c r="B55" s="7" t="s">
        <v>93</v>
      </c>
    </row>
    <row r="56" spans="2:2">
      <c r="B56" s="8" t="s">
        <v>86</v>
      </c>
    </row>
    <row r="57" spans="2:2">
      <c r="B57" s="8" t="s">
        <v>87</v>
      </c>
    </row>
    <row r="58" spans="2:2">
      <c r="B58" s="9" t="s">
        <v>94</v>
      </c>
    </row>
    <row r="59" spans="2:2">
      <c r="B59" s="9" t="s">
        <v>95</v>
      </c>
    </row>
    <row r="60" spans="2:2">
      <c r="B60" s="9" t="s">
        <v>96</v>
      </c>
    </row>
    <row r="61" spans="2:2">
      <c r="B61" s="3" t="s">
        <v>89</v>
      </c>
    </row>
    <row r="62" spans="2:2">
      <c r="B62" s="3" t="s">
        <v>84</v>
      </c>
    </row>
    <row r="63" spans="2:2">
      <c r="B63" s="8" t="s">
        <v>90</v>
      </c>
    </row>
    <row r="64" spans="2:2">
      <c r="B64" s="8" t="s">
        <v>91</v>
      </c>
    </row>
    <row r="65" spans="1:2">
      <c r="B65" s="8"/>
    </row>
    <row r="66" spans="1:2">
      <c r="A66" s="3" t="s">
        <v>100</v>
      </c>
      <c r="B66" t="s">
        <v>97</v>
      </c>
    </row>
    <row r="67" spans="1:2">
      <c r="B67" t="s">
        <v>98</v>
      </c>
    </row>
    <row r="68" spans="1:2">
      <c r="B68" t="s">
        <v>99</v>
      </c>
    </row>
    <row r="69" spans="1:2">
      <c r="A69" s="3" t="s">
        <v>101</v>
      </c>
      <c r="B69" t="s">
        <v>102</v>
      </c>
    </row>
    <row r="70" spans="1:2">
      <c r="B70" t="s">
        <v>103</v>
      </c>
    </row>
    <row r="71" spans="1:2">
      <c r="A71" s="3" t="s">
        <v>107</v>
      </c>
      <c r="B71" t="s">
        <v>108</v>
      </c>
    </row>
    <row r="72" spans="1:2">
      <c r="B72" t="s">
        <v>109</v>
      </c>
    </row>
    <row r="73" spans="1:2">
      <c r="B73" t="s">
        <v>110</v>
      </c>
    </row>
    <row r="75" spans="1:2">
      <c r="A75" s="3" t="s">
        <v>111</v>
      </c>
      <c r="B75" t="s">
        <v>121</v>
      </c>
    </row>
    <row r="76" spans="1:2">
      <c r="B76" s="33" t="s">
        <v>117</v>
      </c>
    </row>
    <row r="77" spans="1:2">
      <c r="B77" s="32" t="s">
        <v>112</v>
      </c>
    </row>
    <row r="78" spans="1:2">
      <c r="B78" s="16" t="s">
        <v>114</v>
      </c>
    </row>
    <row r="79" spans="1:2">
      <c r="B79" s="16" t="s">
        <v>113</v>
      </c>
    </row>
    <row r="80" spans="1:2">
      <c r="B80" s="16" t="s">
        <v>115</v>
      </c>
    </row>
    <row r="81" spans="1:2">
      <c r="B81" s="16" t="s">
        <v>116</v>
      </c>
    </row>
    <row r="82" spans="1:2">
      <c r="B82" s="34" t="s">
        <v>122</v>
      </c>
    </row>
    <row r="83" spans="1:2">
      <c r="B83" s="35" t="s">
        <v>123</v>
      </c>
    </row>
    <row r="84" spans="1:2">
      <c r="B84" s="16" t="s">
        <v>124</v>
      </c>
    </row>
    <row r="85" spans="1:2">
      <c r="B85" s="36" t="s">
        <v>126</v>
      </c>
    </row>
    <row r="86" spans="1:2">
      <c r="B86" s="36" t="s">
        <v>125</v>
      </c>
    </row>
    <row r="87" spans="1:2">
      <c r="B87" s="37" t="s">
        <v>118</v>
      </c>
    </row>
    <row r="88" spans="1:2">
      <c r="B88" s="16" t="s">
        <v>119</v>
      </c>
    </row>
    <row r="89" spans="1:2">
      <c r="B89" s="16" t="s">
        <v>120</v>
      </c>
    </row>
    <row r="90" spans="1:2">
      <c r="B90" s="37" t="s">
        <v>127</v>
      </c>
    </row>
    <row r="91" spans="1:2">
      <c r="B91" s="37"/>
    </row>
    <row r="92" spans="1:2">
      <c r="A92" s="3" t="s">
        <v>128</v>
      </c>
      <c r="B92" s="3" t="s">
        <v>135</v>
      </c>
    </row>
    <row r="93" spans="1:2">
      <c r="B93" s="3" t="s">
        <v>136</v>
      </c>
    </row>
    <row r="95" spans="1:2">
      <c r="B95" t="s">
        <v>137</v>
      </c>
    </row>
    <row r="96" spans="1:2">
      <c r="B96" t="s">
        <v>129</v>
      </c>
    </row>
    <row r="97" spans="1:2">
      <c r="B97" s="3" t="s">
        <v>132</v>
      </c>
    </row>
    <row r="98" spans="1:2">
      <c r="B98" t="s">
        <v>130</v>
      </c>
    </row>
    <row r="99" spans="1:2">
      <c r="B99" t="s">
        <v>131</v>
      </c>
    </row>
    <row r="100" spans="1:2">
      <c r="B100" t="s">
        <v>133</v>
      </c>
    </row>
    <row r="101" spans="1:2">
      <c r="B101" t="s">
        <v>134</v>
      </c>
    </row>
    <row r="102" spans="1:2">
      <c r="B102" t="s">
        <v>138</v>
      </c>
    </row>
    <row r="103" spans="1:2">
      <c r="B103" t="s">
        <v>139</v>
      </c>
    </row>
    <row r="104" spans="1:2">
      <c r="B104" t="s">
        <v>141</v>
      </c>
    </row>
    <row r="105" spans="1:2">
      <c r="B105" t="s">
        <v>140</v>
      </c>
    </row>
    <row r="106" spans="1:2">
      <c r="B106" s="3" t="s">
        <v>142</v>
      </c>
    </row>
    <row r="107" spans="1:2">
      <c r="B107" t="s">
        <v>143</v>
      </c>
    </row>
    <row r="108" spans="1:2">
      <c r="B108" t="s">
        <v>144</v>
      </c>
    </row>
    <row r="109" spans="1:2">
      <c r="A109" s="3" t="s">
        <v>145</v>
      </c>
      <c r="B109" t="s">
        <v>146</v>
      </c>
    </row>
    <row r="110" spans="1:2">
      <c r="B110" t="s">
        <v>147</v>
      </c>
    </row>
    <row r="111" spans="1:2">
      <c r="B111" t="s">
        <v>150</v>
      </c>
    </row>
    <row r="113" spans="1:2">
      <c r="B113" s="38" t="s">
        <v>149</v>
      </c>
    </row>
    <row r="114" spans="1:2">
      <c r="B114" t="s">
        <v>148</v>
      </c>
    </row>
    <row r="116" spans="1:2" ht="112.5">
      <c r="A116" s="39" t="s">
        <v>157</v>
      </c>
      <c r="B116" s="40" t="s">
        <v>158</v>
      </c>
    </row>
    <row r="118" spans="1:2">
      <c r="A118" t="s">
        <v>159</v>
      </c>
      <c r="B118" t="s">
        <v>160</v>
      </c>
    </row>
    <row r="119" spans="1:2">
      <c r="B119" t="s">
        <v>161</v>
      </c>
    </row>
    <row r="120" spans="1:2">
      <c r="B120" t="s">
        <v>162</v>
      </c>
    </row>
    <row r="121" spans="1:2">
      <c r="B121" t="s">
        <v>163</v>
      </c>
    </row>
    <row r="122" spans="1:2">
      <c r="A122" t="s">
        <v>176</v>
      </c>
    </row>
    <row r="123" spans="1:2">
      <c r="B123" t="s">
        <v>164</v>
      </c>
    </row>
    <row r="124" spans="1:2">
      <c r="B124" t="s">
        <v>161</v>
      </c>
    </row>
    <row r="125" spans="1:2">
      <c r="B125" t="s">
        <v>162</v>
      </c>
    </row>
    <row r="126" spans="1:2">
      <c r="B126" t="s">
        <v>163</v>
      </c>
    </row>
    <row r="127" spans="1:2">
      <c r="B127" t="s">
        <v>165</v>
      </c>
    </row>
    <row r="128" spans="1:2">
      <c r="B128" t="s">
        <v>166</v>
      </c>
    </row>
    <row r="129" spans="1:2">
      <c r="B129" t="s">
        <v>163</v>
      </c>
    </row>
    <row r="130" spans="1:2">
      <c r="B130" t="s">
        <v>167</v>
      </c>
    </row>
    <row r="131" spans="1:2">
      <c r="B131" t="s">
        <v>168</v>
      </c>
    </row>
    <row r="132" spans="1:2">
      <c r="B132" t="s">
        <v>163</v>
      </c>
    </row>
    <row r="133" spans="1:2">
      <c r="B133" t="s">
        <v>169</v>
      </c>
    </row>
    <row r="134" spans="1:2">
      <c r="B134" t="s">
        <v>170</v>
      </c>
    </row>
    <row r="135" spans="1:2">
      <c r="B135" t="s">
        <v>171</v>
      </c>
    </row>
    <row r="136" spans="1:2">
      <c r="B136" t="s">
        <v>172</v>
      </c>
    </row>
    <row r="137" spans="1:2">
      <c r="B137" t="s">
        <v>173</v>
      </c>
    </row>
    <row r="138" spans="1:2">
      <c r="B138" t="s">
        <v>163</v>
      </c>
    </row>
    <row r="139" spans="1:2">
      <c r="B139" t="s">
        <v>174</v>
      </c>
    </row>
    <row r="140" spans="1:2">
      <c r="B140" t="s">
        <v>175</v>
      </c>
    </row>
    <row r="141" spans="1:2">
      <c r="B141" t="s">
        <v>163</v>
      </c>
    </row>
    <row r="142" spans="1:2">
      <c r="B142" s="6" t="s">
        <v>178</v>
      </c>
    </row>
    <row r="143" spans="1:2">
      <c r="B143" s="6" t="s">
        <v>177</v>
      </c>
    </row>
    <row r="144" spans="1:2">
      <c r="A144" s="52" t="s">
        <v>198</v>
      </c>
      <c r="B144" t="s">
        <v>197</v>
      </c>
    </row>
    <row r="146" spans="1:2">
      <c r="A146" s="8" t="s">
        <v>228</v>
      </c>
      <c r="B146" s="8" t="s">
        <v>229</v>
      </c>
    </row>
    <row r="147" spans="1:2">
      <c r="B147" s="8" t="s">
        <v>230</v>
      </c>
    </row>
    <row r="148" spans="1:2">
      <c r="B148" s="8" t="s">
        <v>231</v>
      </c>
    </row>
    <row r="149" spans="1:2">
      <c r="B149" s="8" t="s">
        <v>234</v>
      </c>
    </row>
    <row r="150" spans="1:2">
      <c r="B150" s="8" t="s">
        <v>232</v>
      </c>
    </row>
    <row r="151" spans="1:2">
      <c r="B151" s="8" t="s">
        <v>233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0D327-C861-49C6-BAC2-FC623FFD68BE}">
  <sheetPr codeName="Sheet9">
    <pageSetUpPr fitToPage="1"/>
  </sheetPr>
  <dimension ref="A1"/>
  <sheetViews>
    <sheetView workbookViewId="0">
      <selection activeCell="J22" sqref="A1:J22"/>
    </sheetView>
  </sheetViews>
  <sheetFormatPr defaultRowHeight="18.75"/>
  <sheetData/>
  <phoneticPr fontId="1"/>
  <pageMargins left="0.7" right="0.7" top="0.75" bottom="0.75" header="0.3" footer="0.3"/>
  <pageSetup paperSize="9" scale="91" fitToHeight="0"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B25DE-5810-4C4A-ADB2-8BDCECCD6A60}">
  <sheetPr codeName="Sheet10"/>
  <dimension ref="A1:K8"/>
  <sheetViews>
    <sheetView topLeftCell="A16" workbookViewId="0">
      <selection activeCell="I14" sqref="I14"/>
    </sheetView>
  </sheetViews>
  <sheetFormatPr defaultRowHeight="18.75"/>
  <sheetData>
    <row r="1" spans="1:11">
      <c r="K1" t="s">
        <v>151</v>
      </c>
    </row>
    <row r="2" spans="1:11">
      <c r="A2" t="s">
        <v>152</v>
      </c>
    </row>
    <row r="3" spans="1:11">
      <c r="A3" s="8" t="s">
        <v>153</v>
      </c>
    </row>
    <row r="4" spans="1:11">
      <c r="A4" t="s">
        <v>154</v>
      </c>
    </row>
    <row r="5" spans="1:11">
      <c r="A5" s="8" t="s">
        <v>153</v>
      </c>
    </row>
    <row r="6" spans="1:11">
      <c r="A6" s="8" t="s">
        <v>155</v>
      </c>
    </row>
    <row r="7" spans="1:11">
      <c r="A7" s="8" t="s">
        <v>156</v>
      </c>
    </row>
    <row r="8" spans="1:11">
      <c r="A8" s="8"/>
    </row>
  </sheetData>
  <phoneticPr fontId="1"/>
  <pageMargins left="0.7" right="0.7" top="0.75" bottom="0.75" header="0.3" footer="0.3"/>
  <drawing r:id="rId1"/>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SUB-STD作成依頼</vt:lpstr>
      <vt:lpstr>2月8月-6月12月用数量貼付用</vt:lpstr>
      <vt:lpstr>作成修正履歴</vt:lpstr>
      <vt:lpstr>2024aug21参照設定私の設定分</vt:lpstr>
      <vt:lpstr>2024年aug21-コントロール私の設定</vt:lpstr>
      <vt:lpstr>'SUB-STD作成依頼'!Print_Area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tdk</dc:creator>
  <cp:lastModifiedBy>Hiroki Watanabe</cp:lastModifiedBy>
  <cp:lastPrinted>2025-03-06T06:06:23Z</cp:lastPrinted>
  <dcterms:created xsi:type="dcterms:W3CDTF">2023-09-07T05:47:58Z</dcterms:created>
  <dcterms:modified xsi:type="dcterms:W3CDTF">2026-04-09T02:25:11Z</dcterms:modified>
</cp:coreProperties>
</file>